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6b3a10a7beeb0273/Desktop/"/>
    </mc:Choice>
  </mc:AlternateContent>
  <xr:revisionPtr revIDLastSave="0" documentId="8_{C10FDE02-449B-4C1F-83B8-3650C6E7909D}" xr6:coauthVersionLast="47" xr6:coauthVersionMax="47" xr10:uidLastSave="{00000000-0000-0000-0000-000000000000}"/>
  <bookViews>
    <workbookView xWindow="-108" yWindow="-108" windowWidth="23256" windowHeight="13176" xr2:uid="{00000000-000D-0000-FFFF-FFFF00000000}"/>
  </bookViews>
  <sheets>
    <sheet name="ProjectSchedule" sheetId="1" r:id="rId1"/>
    <sheet name="About" sheetId="2" r:id="rId2"/>
  </sheets>
  <definedNames>
    <definedName name="_xlnm.Print_Titles" localSheetId="0">ProjectSchedule!$1:$6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2" l="1"/>
  <c r="H53" i="1"/>
  <c r="H52" i="1"/>
  <c r="H51" i="1"/>
  <c r="H50" i="1"/>
  <c r="H49" i="1"/>
  <c r="H47" i="1"/>
  <c r="H46" i="1"/>
  <c r="H45" i="1"/>
  <c r="H44"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J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sz val="11"/>
            <color theme="1"/>
            <rFont val="Calibri"/>
            <family val="2"/>
            <scheme val="minor"/>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<sst xmlns="http://schemas.openxmlformats.org/spreadsheetml/2006/main" count="253" uniqueCount="101">
  <si>
    <t>CONTRACT PLAYBOOK COMPARISON SYSTEM</t>
  </si>
  <si>
    <t>SE Lab Project</t>
  </si>
  <si>
    <t>Project Start:</t>
  </si>
  <si>
    <t>[Project Lead]</t>
  </si>
  <si>
    <t>Today:</t>
  </si>
  <si>
    <t>Display Week:</t>
  </si>
  <si>
    <t>Week 1  |  03 Aug – 09 Aug</t>
  </si>
  <si>
    <t>Week 2  |  10 Aug – 16 Aug</t>
  </si>
  <si>
    <t>Week 3  |  17 Aug – 23 Aug</t>
  </si>
  <si>
    <t>Week 4  |  24 Aug – 30 Aug</t>
  </si>
  <si>
    <t>Week 5  |  31 Aug – 06 Sep</t>
  </si>
  <si>
    <t>Week 6  |  07 Sep – 13 Sep</t>
  </si>
  <si>
    <t>Week 7  |  14 Sep – 20 Sep</t>
  </si>
  <si>
    <t>Week 8  |  21 Sep – 27 Sep</t>
  </si>
  <si>
    <t>Week 9  |  28 Sep – 04 Oct</t>
  </si>
  <si>
    <t>Week 10  |  05 Oct – 11 Oct</t>
  </si>
  <si>
    <t>Week 11  |  12 Oct – 18 Oct</t>
  </si>
  <si>
    <t>Week 12  |  19 Oct – 25 Oct</t>
  </si>
  <si>
    <t>Week 13  |  26 Oct – 01 Nov</t>
  </si>
  <si>
    <t>Week 14  |  02 Nov – 08 Nov</t>
  </si>
  <si>
    <t>Week 15  |  09 Nov – 15 Nov</t>
  </si>
  <si>
    <t>Week 16  |  16 Nov – 22 Nov</t>
  </si>
  <si>
    <t>Week 17  |  23 Nov – 29 Nov</t>
  </si>
  <si>
    <t>Week 18  |  30 Nov – 01 Dec</t>
  </si>
  <si>
    <t>TASK</t>
  </si>
  <si>
    <t>ASSIGNED
TO</t>
  </si>
  <si>
    <t>PROGRESS</t>
  </si>
  <si>
    <t>START</t>
  </si>
  <si>
    <t>END</t>
  </si>
  <si>
    <t>DAYS</t>
  </si>
  <si>
    <t>M</t>
  </si>
  <si>
    <t>T</t>
  </si>
  <si>
    <t>W</t>
  </si>
  <si>
    <t>F</t>
  </si>
  <si>
    <t>S</t>
  </si>
  <si>
    <t>Phase 1 — Project Initiation &amp; Idea</t>
  </si>
  <si>
    <t>Problem identification and project idea</t>
  </si>
  <si>
    <t>Project Team</t>
  </si>
  <si>
    <t>Motivation, objectives and scope definition</t>
  </si>
  <si>
    <t>Basic architecture and workflow planning</t>
  </si>
  <si>
    <t>Dataset/playbook decision and initial lab presentation</t>
  </si>
  <si>
    <t>Phase 2 — Project Proposal</t>
  </si>
  <si>
    <t>Proposal structure and content drafting</t>
  </si>
  <si>
    <t>Problem statement, methodology and deliverables</t>
  </si>
  <si>
    <t>Proposal finalization and submission</t>
  </si>
  <si>
    <t>Phase 3 — Requirements, Analysis &amp; Design</t>
  </si>
  <si>
    <t>System requirements and module planning</t>
  </si>
  <si>
    <t>Initial prototype foundation and repository setup</t>
  </si>
  <si>
    <t>Use case and DFD design</t>
  </si>
  <si>
    <t>GitHub Pages / project documentation setup</t>
  </si>
  <si>
    <t>Phase 4 — Prototype Development</t>
  </si>
  <si>
    <t>Document ingestion, chunking and embeddings</t>
  </si>
  <si>
    <t>Clause retrieval and comparison pipeline</t>
  </si>
  <si>
    <t>Report generation and Streamlit interface</t>
  </si>
  <si>
    <t>Prototype integration and basic verification</t>
  </si>
  <si>
    <t>ER and Activity diagrams + presentation preparation</t>
  </si>
  <si>
    <t>Phase 5 — Pipeline Validation &amp; Bug Fixing</t>
  </si>
  <si>
    <t>Fix chunking and verify chunk offsets</t>
  </si>
  <si>
    <t>Calibrate retrieval threshold and query phrasing</t>
  </si>
  <si>
    <t>Verify dataset loading, retrieval signatures and ground truth</t>
  </si>
  <si>
    <t>Verify rule-based comparator and LLM comparison path</t>
  </si>
  <si>
    <t>Phase 6 — Evaluation &amp; Performance Testing</t>
  </si>
  <si>
    <t>Retrieval hit-rate and score-distribution evaluation</t>
  </si>
  <si>
    <t>End-to-end evaluation on synthetic contracts</t>
  </si>
  <si>
    <t>Real-world PDF upload and parser testing</t>
  </si>
  <si>
    <t>Performance analysis and evaluation report</t>
  </si>
  <si>
    <t>Phase 7 — System Integration &amp; Documentation</t>
  </si>
  <si>
    <t>Improve Streamlit workflow and user-facing output</t>
  </si>
  <si>
    <t>PDF/CSV report generation and output validation</t>
  </si>
  <si>
    <t>SRS, architecture and detailed design documentation</t>
  </si>
  <si>
    <t>Testing documentation, screenshots and project website updates</t>
  </si>
  <si>
    <t>Phase 8 — Final Testing &amp; Stabilization</t>
  </si>
  <si>
    <t>Clean-environment installation and dependency testing</t>
  </si>
  <si>
    <t>Unit, integration and regression testing</t>
  </si>
  <si>
    <t>Bug fixing, edge-case testing and UI polish</t>
  </si>
  <si>
    <t>Final prototype freeze and release candidate</t>
  </si>
  <si>
    <t>Phase 9 — Final Report, Demo &amp; Submission</t>
  </si>
  <si>
    <t>Final technical report and evaluation results</t>
  </si>
  <si>
    <t>Final presentation and demo preparation</t>
  </si>
  <si>
    <t>Final documentation review and corrections</t>
  </si>
  <si>
    <t>Final demo / submission / project closure</t>
  </si>
  <si>
    <t>Insert new rows ABOVE this one</t>
  </si>
  <si>
    <t>Legend:</t>
  </si>
  <si>
    <t>Completed</t>
  </si>
  <si>
    <t>Planned</t>
  </si>
  <si>
    <t>Today</t>
  </si>
  <si>
    <t>https://www.vertex42.com/ExcelTemplates/simple-gantt-chart.html</t>
  </si>
  <si>
    <t>© 2018-2019 Vertex42 LLC</t>
  </si>
  <si>
    <t>Customized for the Contract Playbook Comparison System project.</t>
  </si>
  <si>
    <t>Timeline: 03-Aug-2026 to 01-Dec-2026.</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</si>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</sst>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numFmt numFmtId="165" formatCode="m/d/yy;@"/>
    <numFmt numFmtId="166" formatCode="mmm\ d\,\ yyyy"/>
    <numFmt numFmtId="167" formatCode="ddd\,\ m/d/yyyy"/>
    <numFmt numFmtId="168" formatCode="dd\-mmm\-yyyy"/>
  </numFmts>
  <fonts count="2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b/>
      <sz val="11"/>
      <name val="Calibri"/>
    </font>
    <font>
      <b/>
      <sz val="11"/>
      <name val="Calibri"/>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E7E6E6"/>
      </patternFill>
    </fill>
    <fill>
      <patternFill patternType="solid">
        <fgColor rgb="FF5B9BD5"/>
      </patternFill>
    </fill>
    <fill>
      <patternFill patternType="solid">
        <fgColor rgb="FFD9EAF7"/>
      </patternFill>
    </fill>
    <fill>
      <patternFill patternType="solid">
        <fgColor rgb="FFF4B183"/>
      </patternFill>
    </fill>
    <fill>
      <patternFill patternType="solid">
        <fgColor rgb="FF9DC3E6"/>
      </patternFill>
    </fill>
  </fills>
  <borders count="10">
    <border>
      <left/>
      <right/>
      <top/>
      <bottom/>
      <diagonal/>
    </border>
    <border>
      <left/>
      <right/>
      <top style="thin">
        <color theme="0" tint="-0.34998626667073579"/>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3743705557422"/>
      </bottom>
      <diagonal/>
    </border>
    <border>
      <left style="thin">
        <color theme="0" tint="-0.14990691854609822"/>
      </left>
      <right style="thin">
        <color theme="0" tint="-0.14990691854609822"/>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diagonal/>
    </border>
  </borders>
  <cellStyleXfs count="3">
    <xf numFmtId="0" fontId="0" fillId="0" borderId="0"/>
    <xf numFmtId="0" fontId="3" fillId="0" borderId="0">
      <alignment vertical="top"/>
      <protection locked="0"/>
    </xf>
    <xf numFmtId="9" fontId="9" fillId="0" borderId="0"/>
  </cellStyleXfs>
  <cellXfs count="7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8" fillId="0" borderId="0" xfId="0" applyFont="1" applyAlignment="1">
      <alignment vertical="center"/>
    </xf>
    <xf numFmtId="0" fontId="10" fillId="0" borderId="0" xfId="0" applyFont="1"/>
    <xf numFmtId="0" fontId="6" fillId="7" borderId="1" xfId="0" applyFont="1" applyFill="1" applyBorder="1" applyAlignment="1">
      <alignment horizontal="left" vertical="center" indent="1"/>
    </xf>
    <xf numFmtId="0" fontId="6" fillId="7" borderId="1" xfId="0" applyFont="1" applyFill="1" applyBorder="1" applyAlignment="1">
      <alignment horizontal="center" vertical="center" wrapText="1"/>
    </xf>
    <xf numFmtId="164" fontId="11" fillId="4" borderId="6" xfId="0" applyNumberFormat="1" applyFont="1" applyFill="1" applyBorder="1" applyAlignment="1">
      <alignment horizontal="center" vertical="center"/>
    </xf>
    <xf numFmtId="0" fontId="12" fillId="6" borderId="7" xfId="0" applyFont="1" applyFill="1" applyBorder="1" applyAlignment="1">
      <alignment horizontal="center" vertical="center" shrinkToFit="1"/>
    </xf>
    <xf numFmtId="0" fontId="13" fillId="0" borderId="0" xfId="0" applyFont="1" applyAlignment="1">
      <alignment horizontal="left"/>
    </xf>
    <xf numFmtId="0" fontId="15" fillId="0" borderId="0" xfId="1" applyFont="1" applyAlignment="1" applyProtection="1"/>
    <xf numFmtId="0" fontId="16"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Border="1" applyAlignment="1">
      <alignment horizontal="center" vertical="center"/>
    </xf>
    <xf numFmtId="165" fontId="0" fillId="0" borderId="2" xfId="0" applyNumberFormat="1" applyBorder="1" applyAlignment="1">
      <alignment horizontal="center" vertical="center"/>
    </xf>
    <xf numFmtId="165"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0" fontId="7" fillId="2" borderId="2" xfId="0" applyFont="1" applyFill="1" applyBorder="1" applyAlignment="1">
      <alignment horizontal="left" vertical="center" indent="1"/>
    </xf>
    <xf numFmtId="0" fontId="7"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8" xfId="0" applyBorder="1" applyAlignment="1">
      <alignment vertical="center"/>
    </xf>
    <xf numFmtId="0" fontId="0" fillId="2" borderId="8" xfId="0" applyFill="1" applyBorder="1" applyAlignment="1">
      <alignment vertical="center"/>
    </xf>
    <xf numFmtId="0" fontId="2" fillId="0" borderId="0" xfId="0" applyFont="1" applyAlignment="1">
      <alignment vertical="top"/>
    </xf>
    <xf numFmtId="0" fontId="17" fillId="0" borderId="0" xfId="0" applyFont="1" applyAlignment="1">
      <alignment horizontal="left" vertical="center"/>
    </xf>
    <xf numFmtId="0" fontId="18" fillId="0" borderId="0" xfId="0" applyFont="1" applyAlignment="1">
      <alignment horizontal="left" vertical="center"/>
    </xf>
    <xf numFmtId="0" fontId="19" fillId="0" borderId="0" xfId="0" applyFont="1" applyAlignment="1">
      <alignment vertical="center"/>
    </xf>
    <xf numFmtId="0" fontId="2" fillId="0" borderId="0" xfId="0" applyFont="1" applyAlignment="1">
      <alignment horizontal="left" vertical="center"/>
    </xf>
    <xf numFmtId="0" fontId="20" fillId="0" borderId="0" xfId="0" applyFont="1"/>
    <xf numFmtId="0" fontId="21" fillId="0" borderId="0" xfId="0" applyFont="1" applyAlignment="1">
      <alignment vertical="top" wrapText="1"/>
    </xf>
    <xf numFmtId="0" fontId="22" fillId="0" borderId="0" xfId="0" applyFont="1" applyAlignment="1">
      <alignment vertical="center"/>
    </xf>
    <xf numFmtId="0" fontId="21" fillId="0" borderId="0" xfId="0" applyFont="1" applyAlignment="1">
      <alignment horizontal="left" vertical="top" wrapText="1" indent="1"/>
    </xf>
    <xf numFmtId="0" fontId="3" fillId="0" borderId="0" xfId="1" applyAlignment="1" applyProtection="1">
      <alignment horizontal="left" indent="1"/>
    </xf>
    <xf numFmtId="14" fontId="23" fillId="0" borderId="0" xfId="0" applyNumberFormat="1" applyFont="1" applyAlignment="1">
      <alignment horizontal="center"/>
    </xf>
    <xf numFmtId="0" fontId="2" fillId="0" borderId="0" xfId="0" applyFont="1" applyAlignment="1">
      <alignment horizontal="right" vertical="center"/>
    </xf>
    <xf numFmtId="0" fontId="24" fillId="0" borderId="0" xfId="0" applyFont="1" applyAlignment="1">
      <alignment vertical="top"/>
    </xf>
    <xf numFmtId="0" fontId="25" fillId="0" borderId="0" xfId="0" applyFont="1"/>
    <xf numFmtId="0" fontId="25" fillId="0" borderId="0" xfId="1" applyFont="1" applyAlignment="1" applyProtection="1"/>
    <xf numFmtId="0" fontId="27" fillId="8" borderId="2" xfId="0" applyFont="1" applyFill="1" applyBorder="1" applyAlignment="1">
      <alignment horizontal="left" vertical="center" indent="1"/>
    </xf>
    <xf numFmtId="0" fontId="27" fillId="8" borderId="2" xfId="0" applyFont="1" applyFill="1" applyBorder="1" applyAlignment="1">
      <alignment horizontal="center" vertical="center"/>
    </xf>
    <xf numFmtId="9" fontId="27" fillId="8" borderId="2" xfId="2" applyFont="1" applyFill="1" applyBorder="1" applyAlignment="1">
      <alignment horizontal="center" vertical="center"/>
    </xf>
    <xf numFmtId="165" fontId="27" fillId="8" borderId="2" xfId="0" applyNumberFormat="1" applyFont="1" applyFill="1" applyBorder="1" applyAlignment="1">
      <alignment horizontal="center" vertical="center"/>
    </xf>
    <xf numFmtId="0" fontId="27" fillId="0" borderId="2" xfId="0" applyFont="1" applyBorder="1" applyAlignment="1">
      <alignment horizontal="center" vertical="center"/>
    </xf>
    <xf numFmtId="0" fontId="27" fillId="0" borderId="8" xfId="0" applyFont="1" applyBorder="1" applyAlignment="1">
      <alignment vertical="center"/>
    </xf>
    <xf numFmtId="168" fontId="0" fillId="3" borderId="2" xfId="0" applyNumberFormat="1" applyFill="1" applyBorder="1" applyAlignment="1">
      <alignment horizontal="center" vertical="center"/>
    </xf>
    <xf numFmtId="168" fontId="5" fillId="3" borderId="2" xfId="0" applyNumberFormat="1" applyFont="1" applyFill="1" applyBorder="1" applyAlignment="1">
      <alignment horizontal="center" vertical="center"/>
    </xf>
    <xf numFmtId="0" fontId="28" fillId="0" borderId="0" xfId="0" applyFont="1"/>
    <xf numFmtId="0" fontId="14" fillId="9" borderId="0" xfId="0" applyFont="1" applyFill="1"/>
    <xf numFmtId="0" fontId="0" fillId="10" borderId="0" xfId="0" applyFill="1"/>
    <xf numFmtId="0" fontId="0" fillId="11" borderId="0" xfId="0" applyFill="1"/>
    <xf numFmtId="0" fontId="0" fillId="9" borderId="8" xfId="0" applyFill="1" applyBorder="1" applyAlignment="1">
      <alignment vertical="center"/>
    </xf>
    <xf numFmtId="0" fontId="0" fillId="12" borderId="8" xfId="0" applyFill="1" applyBorder="1" applyAlignment="1">
      <alignment vertical="center"/>
    </xf>
    <xf numFmtId="0" fontId="0" fillId="10" borderId="8" xfId="0" applyFill="1" applyBorder="1" applyAlignment="1">
      <alignment vertical="center"/>
    </xf>
    <xf numFmtId="166" fontId="0" fillId="4" borderId="9" xfId="0" applyNumberFormat="1" applyFill="1" applyBorder="1" applyAlignment="1">
      <alignment horizontal="left" vertical="center" wrapText="1" indent="1"/>
    </xf>
    <xf numFmtId="0" fontId="0" fillId="0" borderId="1" xfId="0" applyBorder="1"/>
    <xf numFmtId="0" fontId="0" fillId="0" borderId="5" xfId="0" applyBorder="1"/>
    <xf numFmtId="167" fontId="0" fillId="0" borderId="3" xfId="0" applyNumberFormat="1" applyBorder="1" applyAlignment="1">
      <alignment horizontal="center" vertical="center"/>
    </xf>
    <xf numFmtId="0" fontId="0" fillId="0" borderId="4" xfId="0" applyBorder="1"/>
    <xf numFmtId="0" fontId="26" fillId="0" borderId="0" xfId="1" applyFont="1" applyAlignment="1" applyProtection="1">
      <alignment horizontal="left" vertical="center"/>
    </xf>
    <xf numFmtId="0" fontId="0" fillId="0" borderId="0" xfId="0"/>
    <xf numFmtId="0" fontId="0" fillId="0" borderId="8" xfId="0" applyFill="1" applyBorder="1" applyAlignment="1">
      <alignment vertical="center"/>
    </xf>
    <xf numFmtId="0" fontId="27" fillId="0" borderId="8" xfId="0" applyFont="1" applyFill="1" applyBorder="1" applyAlignment="1">
      <alignment vertical="center"/>
    </xf>
    <xf numFmtId="0" fontId="0" fillId="0" borderId="0" xfId="0" applyFill="1"/>
    <xf numFmtId="0" fontId="0" fillId="5" borderId="8" xfId="0" applyFill="1" applyBorder="1" applyAlignment="1">
      <alignment vertical="center"/>
    </xf>
  </cellXfs>
  <cellStyles count="3">
    <cellStyle name="Hyperlink" xfId="1" builtinId="8"/>
    <cellStyle name="Normal" xfId="0" builtinId="0"/>
    <cellStyle name="Percent" xfId="2" builtinId="5"/>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90500" y="95250"/>
          <a:ext cx="1905000" cy="4286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Y57"/>
  <sheetViews>
    <sheetView showGridLines="0" tabSelected="1" showRuler="0" zoomScale="103" zoomScaleNormal="100" zoomScalePageLayoutView="70" workbookViewId="0">
      <pane xSplit="8" ySplit="6" topLeftCell="AE7" activePane="bottomRight" state="frozen"/>
      <selection pane="topRight"/>
      <selection pane="bottomLeft"/>
      <selection pane="bottomRight" activeCell="AN63" sqref="AN63"/>
    </sheetView>
  </sheetViews>
  <sheetFormatPr defaultRowHeight="14.4" x14ac:dyDescent="0.3"/>
  <cols>
    <col min="1" max="1" width="2.6640625" customWidth="1"/>
    <col min="2" max="2" width="19.88671875" customWidth="1"/>
    <col min="3" max="3" width="9.109375" customWidth="1"/>
    <col min="4" max="4" width="10.6640625" customWidth="1"/>
    <col min="5" max="5" width="10.44140625" style="5" customWidth="1"/>
    <col min="6" max="6" width="10.44140625" customWidth="1"/>
    <col min="7" max="7" width="2.6640625" customWidth="1"/>
    <col min="8" max="8" width="6.109375" hidden="1" customWidth="1"/>
    <col min="9" max="129" width="2.5546875" customWidth="1"/>
  </cols>
  <sheetData>
    <row r="1" spans="1:129" ht="28.5" customHeight="1" x14ac:dyDescent="0.55000000000000004">
      <c r="B1" s="14" t="s">
        <v>0</v>
      </c>
      <c r="C1" s="1"/>
      <c r="D1" s="2"/>
      <c r="E1" s="4"/>
      <c r="F1" s="45"/>
      <c r="H1" s="2"/>
      <c r="I1" s="8"/>
      <c r="J1" s="69" t="str">
        <f>HYPERLINK("https://vertex42.link/HowToMakeAGanttChart","► Watch How to Make a Gantt Chart in Excel")</f>
        <v>► Watch How to Make a Gantt Chart in Excel</v>
      </c>
      <c r="K1" s="70"/>
      <c r="L1" s="70"/>
      <c r="M1" s="70"/>
      <c r="N1" s="70"/>
      <c r="O1" s="70"/>
      <c r="P1" s="70"/>
      <c r="Q1" s="70"/>
      <c r="R1" s="70"/>
      <c r="S1" s="70"/>
      <c r="T1" s="70"/>
      <c r="U1" s="70"/>
      <c r="V1" s="70"/>
      <c r="W1" s="70"/>
      <c r="X1" s="70"/>
      <c r="Y1" s="70"/>
      <c r="Z1" s="70"/>
      <c r="AA1" s="70"/>
    </row>
    <row r="2" spans="1:129" ht="19.5" customHeight="1" x14ac:dyDescent="0.35">
      <c r="B2" s="9" t="s">
        <v>1</v>
      </c>
      <c r="D2" s="6" t="s">
        <v>2</v>
      </c>
      <c r="E2" s="67">
        <v>46237</v>
      </c>
      <c r="F2" s="68"/>
    </row>
    <row r="3" spans="1:129" ht="19.5" customHeight="1" x14ac:dyDescent="0.35">
      <c r="B3" s="9" t="s">
        <v>3</v>
      </c>
      <c r="D3" s="6" t="s">
        <v>4</v>
      </c>
      <c r="E3" s="67">
        <v>46278</v>
      </c>
      <c r="F3" s="68"/>
    </row>
    <row r="4" spans="1:129" ht="19.5" customHeight="1" x14ac:dyDescent="0.3">
      <c r="D4" s="6" t="s">
        <v>5</v>
      </c>
      <c r="E4" s="7">
        <v>1</v>
      </c>
      <c r="I4" s="64" t="s">
        <v>6</v>
      </c>
      <c r="J4" s="65"/>
      <c r="K4" s="65"/>
      <c r="L4" s="65"/>
      <c r="M4" s="65"/>
      <c r="N4" s="65"/>
      <c r="O4" s="66"/>
      <c r="P4" s="64" t="s">
        <v>7</v>
      </c>
      <c r="Q4" s="65"/>
      <c r="R4" s="65"/>
      <c r="S4" s="65"/>
      <c r="T4" s="65"/>
      <c r="U4" s="65"/>
      <c r="V4" s="66"/>
      <c r="W4" s="64" t="s">
        <v>8</v>
      </c>
      <c r="X4" s="65"/>
      <c r="Y4" s="65"/>
      <c r="Z4" s="65"/>
      <c r="AA4" s="65"/>
      <c r="AB4" s="65"/>
      <c r="AC4" s="66"/>
      <c r="AD4" s="64" t="s">
        <v>9</v>
      </c>
      <c r="AE4" s="65"/>
      <c r="AF4" s="65"/>
      <c r="AG4" s="65"/>
      <c r="AH4" s="65"/>
      <c r="AI4" s="65"/>
      <c r="AJ4" s="66"/>
      <c r="AK4" s="64" t="s">
        <v>10</v>
      </c>
      <c r="AL4" s="65"/>
      <c r="AM4" s="65"/>
      <c r="AN4" s="65"/>
      <c r="AO4" s="65"/>
      <c r="AP4" s="65"/>
      <c r="AQ4" s="66"/>
      <c r="AR4" s="64" t="s">
        <v>11</v>
      </c>
      <c r="AS4" s="65"/>
      <c r="AT4" s="65"/>
      <c r="AU4" s="65"/>
      <c r="AV4" s="65"/>
      <c r="AW4" s="65"/>
      <c r="AX4" s="66"/>
      <c r="AY4" s="64" t="s">
        <v>12</v>
      </c>
      <c r="AZ4" s="65"/>
      <c r="BA4" s="65"/>
      <c r="BB4" s="65"/>
      <c r="BC4" s="65"/>
      <c r="BD4" s="65"/>
      <c r="BE4" s="66"/>
      <c r="BF4" s="64" t="s">
        <v>13</v>
      </c>
      <c r="BG4" s="65"/>
      <c r="BH4" s="65"/>
      <c r="BI4" s="65"/>
      <c r="BJ4" s="65"/>
      <c r="BK4" s="65"/>
      <c r="BL4" s="66"/>
      <c r="BM4" s="64" t="s">
        <v>14</v>
      </c>
      <c r="BN4" s="65"/>
      <c r="BO4" s="65"/>
      <c r="BP4" s="65"/>
      <c r="BQ4" s="65"/>
      <c r="BR4" s="65"/>
      <c r="BS4" s="66"/>
      <c r="BT4" s="64" t="s">
        <v>15</v>
      </c>
      <c r="BU4" s="65"/>
      <c r="BV4" s="65"/>
      <c r="BW4" s="65"/>
      <c r="BX4" s="65"/>
      <c r="BY4" s="65"/>
      <c r="BZ4" s="66"/>
      <c r="CA4" s="64" t="s">
        <v>16</v>
      </c>
      <c r="CB4" s="65"/>
      <c r="CC4" s="65"/>
      <c r="CD4" s="65"/>
      <c r="CE4" s="65"/>
      <c r="CF4" s="65"/>
      <c r="CG4" s="66"/>
      <c r="CH4" s="64" t="s">
        <v>17</v>
      </c>
      <c r="CI4" s="65"/>
      <c r="CJ4" s="65"/>
      <c r="CK4" s="65"/>
      <c r="CL4" s="65"/>
      <c r="CM4" s="65"/>
      <c r="CN4" s="66"/>
      <c r="CO4" s="64" t="s">
        <v>18</v>
      </c>
      <c r="CP4" s="65"/>
      <c r="CQ4" s="65"/>
      <c r="CR4" s="65"/>
      <c r="CS4" s="65"/>
      <c r="CT4" s="65"/>
      <c r="CU4" s="66"/>
      <c r="CV4" s="64" t="s">
        <v>19</v>
      </c>
      <c r="CW4" s="65"/>
      <c r="CX4" s="65"/>
      <c r="CY4" s="65"/>
      <c r="CZ4" s="65"/>
      <c r="DA4" s="65"/>
      <c r="DB4" s="66"/>
      <c r="DC4" s="64" t="s">
        <v>20</v>
      </c>
      <c r="DD4" s="65"/>
      <c r="DE4" s="65"/>
      <c r="DF4" s="65"/>
      <c r="DG4" s="65"/>
      <c r="DH4" s="65"/>
      <c r="DI4" s="66"/>
      <c r="DJ4" s="64" t="s">
        <v>21</v>
      </c>
      <c r="DK4" s="65"/>
      <c r="DL4" s="65"/>
      <c r="DM4" s="65"/>
      <c r="DN4" s="65"/>
      <c r="DO4" s="65"/>
      <c r="DP4" s="66"/>
      <c r="DQ4" s="64" t="s">
        <v>22</v>
      </c>
      <c r="DR4" s="65"/>
      <c r="DS4" s="65"/>
      <c r="DT4" s="65"/>
      <c r="DU4" s="65"/>
      <c r="DV4" s="65"/>
      <c r="DW4" s="66"/>
      <c r="DX4" s="64" t="s">
        <v>23</v>
      </c>
      <c r="DY4" s="66"/>
    </row>
    <row r="5" spans="1:129" x14ac:dyDescent="0.3">
      <c r="A5" s="6"/>
      <c r="G5" s="6"/>
      <c r="I5" s="12">
        <v>46237</v>
      </c>
      <c r="J5" s="12">
        <v>46238</v>
      </c>
      <c r="K5" s="12">
        <v>46239</v>
      </c>
      <c r="L5" s="12">
        <v>46240</v>
      </c>
      <c r="M5" s="12">
        <v>46241</v>
      </c>
      <c r="N5" s="12">
        <v>46242</v>
      </c>
      <c r="O5" s="12">
        <v>46243</v>
      </c>
      <c r="P5" s="12">
        <v>46244</v>
      </c>
      <c r="Q5" s="12">
        <v>46245</v>
      </c>
      <c r="R5" s="12">
        <v>46246</v>
      </c>
      <c r="S5" s="12">
        <v>46247</v>
      </c>
      <c r="T5" s="12">
        <v>46248</v>
      </c>
      <c r="U5" s="12">
        <v>46249</v>
      </c>
      <c r="V5" s="12">
        <v>46250</v>
      </c>
      <c r="W5" s="12">
        <v>46251</v>
      </c>
      <c r="X5" s="12">
        <v>46252</v>
      </c>
      <c r="Y5" s="12">
        <v>46253</v>
      </c>
      <c r="Z5" s="12">
        <v>46254</v>
      </c>
      <c r="AA5" s="12">
        <v>46255</v>
      </c>
      <c r="AB5" s="12">
        <v>46256</v>
      </c>
      <c r="AC5" s="12">
        <v>46257</v>
      </c>
      <c r="AD5" s="12">
        <v>46258</v>
      </c>
      <c r="AE5" s="12">
        <v>46259</v>
      </c>
      <c r="AF5" s="12">
        <v>46260</v>
      </c>
      <c r="AG5" s="12">
        <v>46261</v>
      </c>
      <c r="AH5" s="12">
        <v>46262</v>
      </c>
      <c r="AI5" s="12">
        <v>46263</v>
      </c>
      <c r="AJ5" s="12">
        <v>46264</v>
      </c>
      <c r="AK5" s="12">
        <v>46265</v>
      </c>
      <c r="AL5" s="12">
        <v>46266</v>
      </c>
      <c r="AM5" s="12">
        <v>46267</v>
      </c>
      <c r="AN5" s="12">
        <v>46268</v>
      </c>
      <c r="AO5" s="12">
        <v>46269</v>
      </c>
      <c r="AP5" s="12">
        <v>46270</v>
      </c>
      <c r="AQ5" s="12">
        <v>46271</v>
      </c>
      <c r="AR5" s="12">
        <v>46272</v>
      </c>
      <c r="AS5" s="12">
        <v>46273</v>
      </c>
      <c r="AT5" s="12">
        <v>46274</v>
      </c>
      <c r="AU5" s="12">
        <v>46275</v>
      </c>
      <c r="AV5" s="12">
        <v>46276</v>
      </c>
      <c r="AW5" s="12">
        <v>46277</v>
      </c>
      <c r="AX5" s="12">
        <v>46278</v>
      </c>
      <c r="AY5" s="12">
        <v>46279</v>
      </c>
      <c r="AZ5" s="12">
        <v>46280</v>
      </c>
      <c r="BA5" s="12">
        <v>46281</v>
      </c>
      <c r="BB5" s="12">
        <v>46282</v>
      </c>
      <c r="BC5" s="12">
        <v>46283</v>
      </c>
      <c r="BD5" s="12">
        <v>46284</v>
      </c>
      <c r="BE5" s="12">
        <v>46285</v>
      </c>
      <c r="BF5" s="12">
        <v>46286</v>
      </c>
      <c r="BG5" s="12">
        <v>46287</v>
      </c>
      <c r="BH5" s="12">
        <v>46288</v>
      </c>
      <c r="BI5" s="12">
        <v>46289</v>
      </c>
      <c r="BJ5" s="12">
        <v>46290</v>
      </c>
      <c r="BK5" s="12">
        <v>46291</v>
      </c>
      <c r="BL5" s="12">
        <v>46292</v>
      </c>
      <c r="BM5" s="12">
        <v>46293</v>
      </c>
      <c r="BN5" s="12">
        <v>46294</v>
      </c>
      <c r="BO5" s="12">
        <v>46295</v>
      </c>
      <c r="BP5" s="12">
        <v>46296</v>
      </c>
      <c r="BQ5" s="12">
        <v>46297</v>
      </c>
      <c r="BR5" s="12">
        <v>46298</v>
      </c>
      <c r="BS5" s="12">
        <v>46299</v>
      </c>
      <c r="BT5" s="12">
        <v>46300</v>
      </c>
      <c r="BU5" s="12">
        <v>46301</v>
      </c>
      <c r="BV5" s="12">
        <v>46302</v>
      </c>
      <c r="BW5" s="12">
        <v>46303</v>
      </c>
      <c r="BX5" s="12">
        <v>46304</v>
      </c>
      <c r="BY5" s="12">
        <v>46305</v>
      </c>
      <c r="BZ5" s="12">
        <v>46306</v>
      </c>
      <c r="CA5" s="12">
        <v>46307</v>
      </c>
      <c r="CB5" s="12">
        <v>46308</v>
      </c>
      <c r="CC5" s="12">
        <v>46309</v>
      </c>
      <c r="CD5" s="12">
        <v>46310</v>
      </c>
      <c r="CE5" s="12">
        <v>46311</v>
      </c>
      <c r="CF5" s="12">
        <v>46312</v>
      </c>
      <c r="CG5" s="12">
        <v>46313</v>
      </c>
      <c r="CH5" s="12">
        <v>46314</v>
      </c>
      <c r="CI5" s="12">
        <v>46315</v>
      </c>
      <c r="CJ5" s="12">
        <v>46316</v>
      </c>
      <c r="CK5" s="12">
        <v>46317</v>
      </c>
      <c r="CL5" s="12">
        <v>46318</v>
      </c>
      <c r="CM5" s="12">
        <v>46319</v>
      </c>
      <c r="CN5" s="12">
        <v>46320</v>
      </c>
      <c r="CO5" s="12">
        <v>46321</v>
      </c>
      <c r="CP5" s="12">
        <v>46322</v>
      </c>
      <c r="CQ5" s="12">
        <v>46323</v>
      </c>
      <c r="CR5" s="12">
        <v>46324</v>
      </c>
      <c r="CS5" s="12">
        <v>46325</v>
      </c>
      <c r="CT5" s="12">
        <v>46326</v>
      </c>
      <c r="CU5" s="12">
        <v>46327</v>
      </c>
      <c r="CV5" s="12">
        <v>46328</v>
      </c>
      <c r="CW5" s="12">
        <v>46329</v>
      </c>
      <c r="CX5" s="12">
        <v>46330</v>
      </c>
      <c r="CY5" s="12">
        <v>46331</v>
      </c>
      <c r="CZ5" s="12">
        <v>46332</v>
      </c>
      <c r="DA5" s="12">
        <v>46333</v>
      </c>
      <c r="DB5" s="12">
        <v>46334</v>
      </c>
      <c r="DC5" s="12">
        <v>46335</v>
      </c>
      <c r="DD5" s="12">
        <v>46336</v>
      </c>
      <c r="DE5" s="12">
        <v>46337</v>
      </c>
      <c r="DF5" s="12">
        <v>46338</v>
      </c>
      <c r="DG5" s="12">
        <v>46339</v>
      </c>
      <c r="DH5" s="12">
        <v>46340</v>
      </c>
      <c r="DI5" s="12">
        <v>46341</v>
      </c>
      <c r="DJ5" s="12">
        <v>46342</v>
      </c>
      <c r="DK5" s="12">
        <v>46343</v>
      </c>
      <c r="DL5" s="12">
        <v>46344</v>
      </c>
      <c r="DM5" s="12">
        <v>46345</v>
      </c>
      <c r="DN5" s="12">
        <v>46346</v>
      </c>
      <c r="DO5" s="12">
        <v>46347</v>
      </c>
      <c r="DP5" s="12">
        <v>46348</v>
      </c>
      <c r="DQ5" s="12">
        <v>46349</v>
      </c>
      <c r="DR5" s="12">
        <v>46350</v>
      </c>
      <c r="DS5" s="12">
        <v>46351</v>
      </c>
      <c r="DT5" s="12">
        <v>46352</v>
      </c>
      <c r="DU5" s="12">
        <v>46353</v>
      </c>
      <c r="DV5" s="12">
        <v>46354</v>
      </c>
      <c r="DW5" s="12">
        <v>46355</v>
      </c>
      <c r="DX5" s="12">
        <v>46356</v>
      </c>
      <c r="DY5" s="12">
        <v>46357</v>
      </c>
    </row>
    <row r="6" spans="1:129" ht="29.25" customHeight="1" thickBot="1" x14ac:dyDescent="0.35">
      <c r="A6" s="16"/>
      <c r="B6" s="10" t="s">
        <v>24</v>
      </c>
      <c r="C6" s="11" t="s">
        <v>25</v>
      </c>
      <c r="D6" s="11" t="s">
        <v>26</v>
      </c>
      <c r="E6" s="11" t="s">
        <v>27</v>
      </c>
      <c r="F6" s="11" t="s">
        <v>28</v>
      </c>
      <c r="G6" s="11"/>
      <c r="H6" s="11" t="s">
        <v>29</v>
      </c>
      <c r="I6" s="13" t="s">
        <v>30</v>
      </c>
      <c r="J6" s="13" t="s">
        <v>31</v>
      </c>
      <c r="K6" s="13" t="s">
        <v>32</v>
      </c>
      <c r="L6" s="13" t="s">
        <v>31</v>
      </c>
      <c r="M6" s="13" t="s">
        <v>33</v>
      </c>
      <c r="N6" s="13" t="s">
        <v>34</v>
      </c>
      <c r="O6" s="13" t="s">
        <v>34</v>
      </c>
      <c r="P6" s="13" t="s">
        <v>30</v>
      </c>
      <c r="Q6" s="13" t="s">
        <v>31</v>
      </c>
      <c r="R6" s="13" t="s">
        <v>32</v>
      </c>
      <c r="S6" s="13" t="s">
        <v>31</v>
      </c>
      <c r="T6" s="13" t="s">
        <v>33</v>
      </c>
      <c r="U6" s="13" t="s">
        <v>34</v>
      </c>
      <c r="V6" s="13" t="s">
        <v>34</v>
      </c>
      <c r="W6" s="13" t="s">
        <v>30</v>
      </c>
      <c r="X6" s="13" t="s">
        <v>31</v>
      </c>
      <c r="Y6" s="13" t="s">
        <v>32</v>
      </c>
      <c r="Z6" s="13" t="s">
        <v>31</v>
      </c>
      <c r="AA6" s="13" t="s">
        <v>33</v>
      </c>
      <c r="AB6" s="13" t="s">
        <v>34</v>
      </c>
      <c r="AC6" s="13" t="s">
        <v>34</v>
      </c>
      <c r="AD6" s="13" t="s">
        <v>30</v>
      </c>
      <c r="AE6" s="13" t="s">
        <v>31</v>
      </c>
      <c r="AF6" s="13" t="s">
        <v>32</v>
      </c>
      <c r="AG6" s="13" t="s">
        <v>31</v>
      </c>
      <c r="AH6" s="13" t="s">
        <v>33</v>
      </c>
      <c r="AI6" s="13" t="s">
        <v>34</v>
      </c>
      <c r="AJ6" s="13" t="s">
        <v>34</v>
      </c>
      <c r="AK6" s="13" t="s">
        <v>30</v>
      </c>
      <c r="AL6" s="13" t="s">
        <v>31</v>
      </c>
      <c r="AM6" s="13" t="s">
        <v>32</v>
      </c>
      <c r="AN6" s="13" t="s">
        <v>31</v>
      </c>
      <c r="AO6" s="13" t="s">
        <v>33</v>
      </c>
      <c r="AP6" s="13" t="s">
        <v>34</v>
      </c>
      <c r="AQ6" s="13" t="s">
        <v>34</v>
      </c>
      <c r="AR6" s="13" t="s">
        <v>30</v>
      </c>
      <c r="AS6" s="13" t="s">
        <v>31</v>
      </c>
      <c r="AT6" s="13" t="s">
        <v>32</v>
      </c>
      <c r="AU6" s="13" t="s">
        <v>31</v>
      </c>
      <c r="AV6" s="13" t="s">
        <v>33</v>
      </c>
      <c r="AW6" s="13" t="s">
        <v>34</v>
      </c>
      <c r="AX6" s="13" t="s">
        <v>34</v>
      </c>
      <c r="AY6" s="13" t="s">
        <v>30</v>
      </c>
      <c r="AZ6" s="13" t="s">
        <v>31</v>
      </c>
      <c r="BA6" s="13" t="s">
        <v>32</v>
      </c>
      <c r="BB6" s="13" t="s">
        <v>31</v>
      </c>
      <c r="BC6" s="13" t="s">
        <v>33</v>
      </c>
      <c r="BD6" s="13" t="s">
        <v>34</v>
      </c>
      <c r="BE6" s="13" t="s">
        <v>34</v>
      </c>
      <c r="BF6" s="13" t="s">
        <v>30</v>
      </c>
      <c r="BG6" s="13" t="s">
        <v>31</v>
      </c>
      <c r="BH6" s="13" t="s">
        <v>32</v>
      </c>
      <c r="BI6" s="13" t="s">
        <v>31</v>
      </c>
      <c r="BJ6" s="13" t="s">
        <v>33</v>
      </c>
      <c r="BK6" s="13" t="s">
        <v>34</v>
      </c>
      <c r="BL6" s="13" t="s">
        <v>34</v>
      </c>
      <c r="BM6" s="13" t="s">
        <v>30</v>
      </c>
      <c r="BN6" s="13" t="s">
        <v>31</v>
      </c>
      <c r="BO6" s="13" t="s">
        <v>32</v>
      </c>
      <c r="BP6" s="13" t="s">
        <v>31</v>
      </c>
      <c r="BQ6" s="13" t="s">
        <v>33</v>
      </c>
      <c r="BR6" s="13" t="s">
        <v>34</v>
      </c>
      <c r="BS6" s="13" t="s">
        <v>34</v>
      </c>
      <c r="BT6" s="13" t="s">
        <v>30</v>
      </c>
      <c r="BU6" s="13" t="s">
        <v>31</v>
      </c>
      <c r="BV6" s="13" t="s">
        <v>32</v>
      </c>
      <c r="BW6" s="13" t="s">
        <v>31</v>
      </c>
      <c r="BX6" s="13" t="s">
        <v>33</v>
      </c>
      <c r="BY6" s="13" t="s">
        <v>34</v>
      </c>
      <c r="BZ6" s="13" t="s">
        <v>34</v>
      </c>
      <c r="CA6" s="13" t="s">
        <v>30</v>
      </c>
      <c r="CB6" s="13" t="s">
        <v>31</v>
      </c>
      <c r="CC6" s="13" t="s">
        <v>32</v>
      </c>
      <c r="CD6" s="13" t="s">
        <v>31</v>
      </c>
      <c r="CE6" s="13" t="s">
        <v>33</v>
      </c>
      <c r="CF6" s="13" t="s">
        <v>34</v>
      </c>
      <c r="CG6" s="13" t="s">
        <v>34</v>
      </c>
      <c r="CH6" s="13" t="s">
        <v>30</v>
      </c>
      <c r="CI6" s="13" t="s">
        <v>31</v>
      </c>
      <c r="CJ6" s="13" t="s">
        <v>32</v>
      </c>
      <c r="CK6" s="13" t="s">
        <v>31</v>
      </c>
      <c r="CL6" s="13" t="s">
        <v>33</v>
      </c>
      <c r="CM6" s="13" t="s">
        <v>34</v>
      </c>
      <c r="CN6" s="13" t="s">
        <v>34</v>
      </c>
      <c r="CO6" s="13" t="s">
        <v>30</v>
      </c>
      <c r="CP6" s="13" t="s">
        <v>31</v>
      </c>
      <c r="CQ6" s="13" t="s">
        <v>32</v>
      </c>
      <c r="CR6" s="13" t="s">
        <v>31</v>
      </c>
      <c r="CS6" s="13" t="s">
        <v>33</v>
      </c>
      <c r="CT6" s="13" t="s">
        <v>34</v>
      </c>
      <c r="CU6" s="13" t="s">
        <v>34</v>
      </c>
      <c r="CV6" s="13" t="s">
        <v>30</v>
      </c>
      <c r="CW6" s="13" t="s">
        <v>31</v>
      </c>
      <c r="CX6" s="13" t="s">
        <v>32</v>
      </c>
      <c r="CY6" s="13" t="s">
        <v>31</v>
      </c>
      <c r="CZ6" s="13" t="s">
        <v>33</v>
      </c>
      <c r="DA6" s="13" t="s">
        <v>34</v>
      </c>
      <c r="DB6" s="13" t="s">
        <v>34</v>
      </c>
      <c r="DC6" s="13" t="s">
        <v>30</v>
      </c>
      <c r="DD6" s="13" t="s">
        <v>31</v>
      </c>
      <c r="DE6" s="13" t="s">
        <v>32</v>
      </c>
      <c r="DF6" s="13" t="s">
        <v>31</v>
      </c>
      <c r="DG6" s="13" t="s">
        <v>33</v>
      </c>
      <c r="DH6" s="13" t="s">
        <v>34</v>
      </c>
      <c r="DI6" s="13" t="s">
        <v>34</v>
      </c>
      <c r="DJ6" s="13" t="s">
        <v>30</v>
      </c>
      <c r="DK6" s="13" t="s">
        <v>31</v>
      </c>
      <c r="DL6" s="13" t="s">
        <v>32</v>
      </c>
      <c r="DM6" s="13" t="s">
        <v>31</v>
      </c>
      <c r="DN6" s="13" t="s">
        <v>33</v>
      </c>
      <c r="DO6" s="13" t="s">
        <v>34</v>
      </c>
      <c r="DP6" s="13" t="s">
        <v>34</v>
      </c>
      <c r="DQ6" s="13" t="s">
        <v>30</v>
      </c>
      <c r="DR6" s="13" t="s">
        <v>31</v>
      </c>
      <c r="DS6" s="13" t="s">
        <v>32</v>
      </c>
      <c r="DT6" s="13" t="s">
        <v>31</v>
      </c>
      <c r="DU6" s="13" t="s">
        <v>33</v>
      </c>
      <c r="DV6" s="13" t="s">
        <v>34</v>
      </c>
      <c r="DW6" s="13" t="s">
        <v>34</v>
      </c>
      <c r="DX6" s="13" t="s">
        <v>30</v>
      </c>
      <c r="DY6" s="13" t="s">
        <v>31</v>
      </c>
    </row>
    <row r="7" spans="1:129" s="3" customFormat="1" ht="21.75" customHeight="1" thickBot="1" x14ac:dyDescent="0.35">
      <c r="A7" s="16"/>
      <c r="B7" s="17"/>
      <c r="C7" s="18"/>
      <c r="D7" s="19"/>
      <c r="E7" s="20"/>
      <c r="F7" s="21"/>
      <c r="G7" s="22"/>
      <c r="H7" s="22" t="str">
        <f>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71"/>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row>
    <row r="8" spans="1:129" s="3" customFormat="1" ht="21.75" customHeight="1" thickBot="1" x14ac:dyDescent="0.35">
      <c r="A8" s="16"/>
      <c r="B8" s="49" t="s">
        <v>35</v>
      </c>
      <c r="C8" s="50"/>
      <c r="D8" s="51"/>
      <c r="E8" s="52"/>
      <c r="F8" s="52"/>
      <c r="G8" s="53"/>
      <c r="H8" s="53" t="str">
        <f>IF(OR(ISBLANK(task_start),ISBLANK(task_end)),"",task_end-task_start+1)</f>
        <v/>
      </c>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72"/>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row>
    <row r="9" spans="1:129" s="3" customFormat="1" ht="21.75" customHeight="1" thickBot="1" x14ac:dyDescent="0.35">
      <c r="A9" s="16"/>
      <c r="B9" s="23" t="s">
        <v>36</v>
      </c>
      <c r="C9" s="24" t="s">
        <v>37</v>
      </c>
      <c r="D9" s="25">
        <v>1</v>
      </c>
      <c r="E9" s="55">
        <v>46237</v>
      </c>
      <c r="F9" s="56">
        <v>46239</v>
      </c>
      <c r="G9" s="22"/>
      <c r="H9" s="22">
        <f>IF(OR(ISBLANK(E9),ISBLANK(F9)),"",F9-E9+1)</f>
        <v>3</v>
      </c>
      <c r="I9" s="61"/>
      <c r="J9" s="61"/>
      <c r="K9" s="61"/>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71"/>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row>
    <row r="10" spans="1:129" s="3" customFormat="1" ht="21.75" customHeight="1" thickBot="1" x14ac:dyDescent="0.35">
      <c r="A10" s="16"/>
      <c r="B10" s="23" t="s">
        <v>38</v>
      </c>
      <c r="C10" s="24" t="s">
        <v>37</v>
      </c>
      <c r="D10" s="25">
        <v>1</v>
      </c>
      <c r="E10" s="55">
        <v>46238</v>
      </c>
      <c r="F10" s="56">
        <v>46241</v>
      </c>
      <c r="G10" s="22"/>
      <c r="H10" s="22">
        <f>IF(OR(ISBLANK(E10),ISBLANK(F10)),"",F10-E10+1)</f>
        <v>4</v>
      </c>
      <c r="I10" s="32"/>
      <c r="J10" s="61"/>
      <c r="K10" s="61"/>
      <c r="L10" s="61"/>
      <c r="M10" s="61"/>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71"/>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row>
    <row r="11" spans="1:129" s="3" customFormat="1" ht="21.75" customHeight="1" thickBot="1" x14ac:dyDescent="0.35">
      <c r="A11" s="16"/>
      <c r="B11" s="23" t="s">
        <v>39</v>
      </c>
      <c r="C11" s="24" t="s">
        <v>37</v>
      </c>
      <c r="D11" s="25">
        <v>1</v>
      </c>
      <c r="E11" s="55">
        <v>46240</v>
      </c>
      <c r="F11" s="56">
        <v>46243</v>
      </c>
      <c r="G11" s="22"/>
      <c r="H11" s="22">
        <f>IF(OR(ISBLANK(E11),ISBLANK(F11)),"",F11-E11+1)</f>
        <v>4</v>
      </c>
      <c r="I11" s="32"/>
      <c r="J11" s="32"/>
      <c r="K11" s="32"/>
      <c r="L11" s="61"/>
      <c r="M11" s="61"/>
      <c r="N11" s="61"/>
      <c r="O11" s="61"/>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71"/>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row>
    <row r="12" spans="1:129" s="3" customFormat="1" ht="21.75" customHeight="1" thickBot="1" x14ac:dyDescent="0.35">
      <c r="A12" s="16"/>
      <c r="B12" s="23" t="s">
        <v>40</v>
      </c>
      <c r="C12" s="24" t="s">
        <v>37</v>
      </c>
      <c r="D12" s="25">
        <v>1</v>
      </c>
      <c r="E12" s="55">
        <v>46242</v>
      </c>
      <c r="F12" s="56">
        <v>46244</v>
      </c>
      <c r="G12" s="22"/>
      <c r="H12" s="22">
        <f>IF(OR(ISBLANK(E12),ISBLANK(F12)),"",F12-E12+1)</f>
        <v>3</v>
      </c>
      <c r="I12" s="32"/>
      <c r="J12" s="32"/>
      <c r="K12" s="32"/>
      <c r="L12" s="32"/>
      <c r="M12" s="32"/>
      <c r="N12" s="61"/>
      <c r="O12" s="61"/>
      <c r="P12" s="61"/>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71"/>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row>
    <row r="13" spans="1:129" s="3" customFormat="1" ht="21.75" customHeight="1" thickBot="1" x14ac:dyDescent="0.35">
      <c r="A13" s="16"/>
      <c r="B13" s="49" t="s">
        <v>41</v>
      </c>
      <c r="C13" s="50"/>
      <c r="D13" s="51"/>
      <c r="E13" s="52">
        <v>43471</v>
      </c>
      <c r="F13" s="52">
        <v>43473</v>
      </c>
      <c r="G13" s="53"/>
      <c r="H13" s="53">
        <f>IF(OR(ISBLANK(task_start),ISBLANK(task_end)),"",task_end-task_start+1)</f>
        <v>3</v>
      </c>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72"/>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c r="DQ13" s="54"/>
      <c r="DR13" s="54"/>
      <c r="DS13" s="54"/>
      <c r="DT13" s="54"/>
      <c r="DU13" s="54"/>
      <c r="DV13" s="54"/>
      <c r="DW13" s="54"/>
      <c r="DX13" s="54"/>
      <c r="DY13" s="54"/>
    </row>
    <row r="14" spans="1:129" s="3" customFormat="1" ht="21.75" customHeight="1" thickBot="1" x14ac:dyDescent="0.35">
      <c r="A14" s="16"/>
      <c r="B14" s="23" t="s">
        <v>42</v>
      </c>
      <c r="C14" s="24" t="s">
        <v>37</v>
      </c>
      <c r="D14" s="25">
        <v>1</v>
      </c>
      <c r="E14" s="55">
        <v>46245</v>
      </c>
      <c r="F14" s="56">
        <v>46248</v>
      </c>
      <c r="G14" s="22"/>
      <c r="H14" s="22">
        <f>IF(OR(ISBLANK(E14),ISBLANK(F14)),"",F14-E14+1)</f>
        <v>4</v>
      </c>
      <c r="I14" s="32"/>
      <c r="J14" s="32"/>
      <c r="K14" s="32"/>
      <c r="L14" s="32"/>
      <c r="M14" s="32"/>
      <c r="N14" s="32"/>
      <c r="O14" s="32"/>
      <c r="P14" s="32"/>
      <c r="Q14" s="61"/>
      <c r="R14" s="61"/>
      <c r="S14" s="61"/>
      <c r="T14" s="61"/>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71"/>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row>
    <row r="15" spans="1:129" s="3" customFormat="1" ht="21.75" customHeight="1" thickBot="1" x14ac:dyDescent="0.35">
      <c r="A15" s="16"/>
      <c r="B15" s="23" t="s">
        <v>43</v>
      </c>
      <c r="C15" s="24" t="s">
        <v>37</v>
      </c>
      <c r="D15" s="25">
        <v>1</v>
      </c>
      <c r="E15" s="55">
        <v>46246</v>
      </c>
      <c r="F15" s="56">
        <v>46250</v>
      </c>
      <c r="G15" s="22"/>
      <c r="H15" s="22">
        <f>IF(OR(ISBLANK(E15),ISBLANK(F15)),"",F15-E15+1)</f>
        <v>5</v>
      </c>
      <c r="I15" s="32"/>
      <c r="J15" s="32"/>
      <c r="K15" s="32"/>
      <c r="L15" s="32"/>
      <c r="M15" s="32"/>
      <c r="N15" s="32"/>
      <c r="O15" s="32"/>
      <c r="P15" s="32"/>
      <c r="Q15" s="32"/>
      <c r="R15" s="61"/>
      <c r="S15" s="61"/>
      <c r="T15" s="61"/>
      <c r="U15" s="61"/>
      <c r="V15" s="61"/>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71"/>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row>
    <row r="16" spans="1:129" s="3" customFormat="1" ht="21.75" customHeight="1" thickBot="1" x14ac:dyDescent="0.35">
      <c r="A16" s="16"/>
      <c r="B16" s="23" t="s">
        <v>44</v>
      </c>
      <c r="C16" s="24" t="s">
        <v>37</v>
      </c>
      <c r="D16" s="25">
        <v>1</v>
      </c>
      <c r="E16" s="55">
        <v>46250</v>
      </c>
      <c r="F16" s="56">
        <v>46251</v>
      </c>
      <c r="G16" s="22"/>
      <c r="H16" s="22">
        <f>IF(OR(ISBLANK(E16),ISBLANK(F16)),"",F16-E16+1)</f>
        <v>2</v>
      </c>
      <c r="I16" s="32"/>
      <c r="J16" s="32"/>
      <c r="K16" s="32"/>
      <c r="L16" s="32"/>
      <c r="M16" s="32"/>
      <c r="N16" s="32"/>
      <c r="O16" s="32"/>
      <c r="P16" s="32"/>
      <c r="Q16" s="32"/>
      <c r="R16" s="32"/>
      <c r="S16" s="32"/>
      <c r="T16" s="32"/>
      <c r="U16" s="32"/>
      <c r="V16" s="61"/>
      <c r="W16" s="61"/>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71"/>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row>
    <row r="17" spans="1:129" s="3" customFormat="1" ht="21.75" customHeight="1" thickBot="1" x14ac:dyDescent="0.35">
      <c r="A17" s="16"/>
      <c r="B17" s="49" t="s">
        <v>45</v>
      </c>
      <c r="C17" s="50"/>
      <c r="D17" s="51"/>
      <c r="E17" s="52">
        <v>43480</v>
      </c>
      <c r="F17" s="52">
        <v>43483</v>
      </c>
      <c r="G17" s="53"/>
      <c r="H17" s="53">
        <f>IF(OR(ISBLANK(task_start),ISBLANK(task_end)),"",task_end-task_start+1)</f>
        <v>4</v>
      </c>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72"/>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row>
    <row r="18" spans="1:129" s="3" customFormat="1" ht="21.75" customHeight="1" thickBot="1" x14ac:dyDescent="0.35">
      <c r="A18" s="16"/>
      <c r="B18" s="23" t="s">
        <v>46</v>
      </c>
      <c r="C18" s="24" t="s">
        <v>37</v>
      </c>
      <c r="D18" s="25">
        <v>1</v>
      </c>
      <c r="E18" s="55">
        <v>46252</v>
      </c>
      <c r="F18" s="56">
        <v>46257</v>
      </c>
      <c r="G18" s="22"/>
      <c r="H18" s="22">
        <f>IF(OR(ISBLANK(E18),ISBLANK(F18)),"",F18-E18+1)</f>
        <v>6</v>
      </c>
      <c r="I18" s="32"/>
      <c r="J18" s="32"/>
      <c r="K18" s="32"/>
      <c r="L18" s="32"/>
      <c r="M18" s="32"/>
      <c r="N18" s="32"/>
      <c r="O18" s="32"/>
      <c r="P18" s="32"/>
      <c r="Q18" s="32"/>
      <c r="R18" s="32"/>
      <c r="S18" s="32"/>
      <c r="T18" s="32"/>
      <c r="U18" s="32"/>
      <c r="V18" s="32"/>
      <c r="W18" s="32"/>
      <c r="X18" s="61"/>
      <c r="Y18" s="61"/>
      <c r="Z18" s="61"/>
      <c r="AA18" s="61"/>
      <c r="AB18" s="61"/>
      <c r="AC18" s="61"/>
      <c r="AD18" s="32"/>
      <c r="AE18" s="32"/>
      <c r="AF18" s="32"/>
      <c r="AG18" s="32"/>
      <c r="AH18" s="32"/>
      <c r="AI18" s="32"/>
      <c r="AJ18" s="32"/>
      <c r="AK18" s="32"/>
      <c r="AL18" s="32"/>
      <c r="AM18" s="32"/>
      <c r="AN18" s="32"/>
      <c r="AO18" s="32"/>
      <c r="AP18" s="32"/>
      <c r="AQ18" s="32"/>
      <c r="AR18" s="32"/>
      <c r="AS18" s="32"/>
      <c r="AT18" s="32"/>
      <c r="AU18" s="32"/>
      <c r="AV18" s="32"/>
      <c r="AW18" s="32"/>
      <c r="AX18" s="71"/>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row>
    <row r="19" spans="1:129" s="3" customFormat="1" ht="21.75" customHeight="1" thickBot="1" x14ac:dyDescent="0.35">
      <c r="A19" s="16"/>
      <c r="B19" s="23" t="s">
        <v>47</v>
      </c>
      <c r="C19" s="24" t="s">
        <v>37</v>
      </c>
      <c r="D19" s="25">
        <v>1</v>
      </c>
      <c r="E19" s="55">
        <v>46252</v>
      </c>
      <c r="F19" s="56">
        <v>46264</v>
      </c>
      <c r="G19" s="22"/>
      <c r="H19" s="22">
        <f>IF(OR(ISBLANK(E19),ISBLANK(F19)),"",F19-E19+1)</f>
        <v>13</v>
      </c>
      <c r="I19" s="32"/>
      <c r="J19" s="32"/>
      <c r="K19" s="32"/>
      <c r="L19" s="32"/>
      <c r="M19" s="32"/>
      <c r="N19" s="32"/>
      <c r="O19" s="32"/>
      <c r="P19" s="32"/>
      <c r="Q19" s="32"/>
      <c r="R19" s="32"/>
      <c r="S19" s="32"/>
      <c r="T19" s="32"/>
      <c r="U19" s="32"/>
      <c r="V19" s="32"/>
      <c r="W19" s="32"/>
      <c r="X19" s="61"/>
      <c r="Y19" s="61"/>
      <c r="Z19" s="61"/>
      <c r="AA19" s="61"/>
      <c r="AB19" s="61"/>
      <c r="AC19" s="61"/>
      <c r="AD19" s="61"/>
      <c r="AE19" s="61"/>
      <c r="AF19" s="61"/>
      <c r="AG19" s="61"/>
      <c r="AH19" s="61"/>
      <c r="AI19" s="61"/>
      <c r="AJ19" s="61"/>
      <c r="AK19" s="32"/>
      <c r="AL19" s="32"/>
      <c r="AM19" s="32"/>
      <c r="AN19" s="32"/>
      <c r="AO19" s="32"/>
      <c r="AP19" s="32"/>
      <c r="AQ19" s="32"/>
      <c r="AR19" s="32"/>
      <c r="AS19" s="32"/>
      <c r="AT19" s="32"/>
      <c r="AU19" s="32"/>
      <c r="AV19" s="32"/>
      <c r="AW19" s="32"/>
      <c r="AX19" s="71"/>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row>
    <row r="20" spans="1:129" s="3" customFormat="1" ht="21.75" customHeight="1" thickBot="1" x14ac:dyDescent="0.35">
      <c r="A20" s="16"/>
      <c r="B20" s="23" t="s">
        <v>48</v>
      </c>
      <c r="C20" s="24" t="s">
        <v>37</v>
      </c>
      <c r="D20" s="25">
        <v>1</v>
      </c>
      <c r="E20" s="55">
        <v>46258</v>
      </c>
      <c r="F20" s="56">
        <v>46265</v>
      </c>
      <c r="G20" s="22"/>
      <c r="H20" s="22">
        <f>IF(OR(ISBLANK(E20),ISBLANK(F20)),"",F20-E20+1)</f>
        <v>8</v>
      </c>
      <c r="I20" s="32"/>
      <c r="J20" s="32"/>
      <c r="K20" s="32"/>
      <c r="L20" s="32"/>
      <c r="M20" s="32"/>
      <c r="N20" s="32"/>
      <c r="O20" s="32"/>
      <c r="P20" s="32"/>
      <c r="Q20" s="32"/>
      <c r="R20" s="32"/>
      <c r="S20" s="32"/>
      <c r="T20" s="32"/>
      <c r="U20" s="32"/>
      <c r="V20" s="32"/>
      <c r="W20" s="32"/>
      <c r="X20" s="32"/>
      <c r="Y20" s="32"/>
      <c r="Z20" s="32"/>
      <c r="AA20" s="32"/>
      <c r="AB20" s="32"/>
      <c r="AC20" s="32"/>
      <c r="AD20" s="61"/>
      <c r="AE20" s="61"/>
      <c r="AF20" s="61"/>
      <c r="AG20" s="61"/>
      <c r="AH20" s="61"/>
      <c r="AI20" s="61"/>
      <c r="AJ20" s="61"/>
      <c r="AK20" s="61"/>
      <c r="AL20" s="32"/>
      <c r="AM20" s="32"/>
      <c r="AN20" s="32"/>
      <c r="AO20" s="32"/>
      <c r="AP20" s="32"/>
      <c r="AQ20" s="32"/>
      <c r="AR20" s="32"/>
      <c r="AS20" s="32"/>
      <c r="AT20" s="32"/>
      <c r="AU20" s="32"/>
      <c r="AV20" s="32"/>
      <c r="AW20" s="32"/>
      <c r="AX20" s="71"/>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row>
    <row r="21" spans="1:129" s="3" customFormat="1" ht="21.75" customHeight="1" thickBot="1" x14ac:dyDescent="0.35">
      <c r="A21" s="16"/>
      <c r="B21" s="23" t="s">
        <v>49</v>
      </c>
      <c r="C21" s="24" t="s">
        <v>37</v>
      </c>
      <c r="D21" s="25">
        <v>1</v>
      </c>
      <c r="E21" s="55">
        <v>46259</v>
      </c>
      <c r="F21" s="56">
        <v>46265</v>
      </c>
      <c r="G21" s="22"/>
      <c r="H21" s="22">
        <f>IF(OR(ISBLANK(E21),ISBLANK(F21)),"",F21-E21+1)</f>
        <v>7</v>
      </c>
      <c r="I21" s="32"/>
      <c r="J21" s="32"/>
      <c r="K21" s="32"/>
      <c r="L21" s="32"/>
      <c r="M21" s="32"/>
      <c r="N21" s="32"/>
      <c r="O21" s="32"/>
      <c r="P21" s="32"/>
      <c r="Q21" s="32"/>
      <c r="R21" s="32"/>
      <c r="S21" s="32"/>
      <c r="T21" s="32"/>
      <c r="U21" s="32"/>
      <c r="V21" s="32"/>
      <c r="W21" s="32"/>
      <c r="X21" s="32"/>
      <c r="Y21" s="32"/>
      <c r="Z21" s="32"/>
      <c r="AA21" s="32"/>
      <c r="AB21" s="32"/>
      <c r="AC21" s="32"/>
      <c r="AD21" s="32"/>
      <c r="AE21" s="61"/>
      <c r="AF21" s="61"/>
      <c r="AG21" s="61"/>
      <c r="AH21" s="61"/>
      <c r="AI21" s="61"/>
      <c r="AJ21" s="61"/>
      <c r="AK21" s="61"/>
      <c r="AL21" s="32"/>
      <c r="AM21" s="32"/>
      <c r="AN21" s="32"/>
      <c r="AO21" s="32"/>
      <c r="AP21" s="32"/>
      <c r="AQ21" s="32"/>
      <c r="AR21" s="32"/>
      <c r="AS21" s="32"/>
      <c r="AT21" s="32"/>
      <c r="AU21" s="32"/>
      <c r="AV21" s="32"/>
      <c r="AW21" s="32"/>
      <c r="AX21" s="71"/>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row>
    <row r="22" spans="1:129" s="3" customFormat="1" ht="21.75" customHeight="1" thickBot="1" x14ac:dyDescent="0.35">
      <c r="A22" s="16"/>
      <c r="B22" s="49" t="s">
        <v>50</v>
      </c>
      <c r="C22" s="50"/>
      <c r="D22" s="51"/>
      <c r="E22" s="52">
        <v>43487</v>
      </c>
      <c r="F22" s="52">
        <v>43491</v>
      </c>
      <c r="G22" s="53"/>
      <c r="H22" s="53">
        <f>IF(OR(ISBLANK(task_start),ISBLANK(task_end)),"",task_end-task_start+1)</f>
        <v>5</v>
      </c>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72"/>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row>
    <row r="23" spans="1:129" s="3" customFormat="1" ht="21.75" customHeight="1" thickBot="1" x14ac:dyDescent="0.35">
      <c r="A23" s="16"/>
      <c r="B23" s="23" t="s">
        <v>51</v>
      </c>
      <c r="C23" s="24" t="s">
        <v>37</v>
      </c>
      <c r="D23" s="25">
        <v>1</v>
      </c>
      <c r="E23" s="55">
        <v>46266</v>
      </c>
      <c r="F23" s="56">
        <v>46270</v>
      </c>
      <c r="G23" s="22"/>
      <c r="H23" s="22">
        <f>IF(OR(ISBLANK(E23),ISBLANK(F23)),"",F23-E23+1)</f>
        <v>5</v>
      </c>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61"/>
      <c r="AM23" s="61"/>
      <c r="AN23" s="61"/>
      <c r="AO23" s="61"/>
      <c r="AP23" s="61"/>
      <c r="AQ23" s="32"/>
      <c r="AR23" s="32"/>
      <c r="AS23" s="32"/>
      <c r="AT23" s="32"/>
      <c r="AU23" s="32"/>
      <c r="AV23" s="32"/>
      <c r="AW23" s="32"/>
      <c r="AX23" s="71"/>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row>
    <row r="24" spans="1:129" s="3" customFormat="1" ht="21.75" customHeight="1" thickBot="1" x14ac:dyDescent="0.35">
      <c r="A24" s="16"/>
      <c r="B24" s="23" t="s">
        <v>52</v>
      </c>
      <c r="C24" s="24" t="s">
        <v>37</v>
      </c>
      <c r="D24" s="25">
        <v>1</v>
      </c>
      <c r="E24" s="55">
        <v>46268</v>
      </c>
      <c r="F24" s="56">
        <v>46273</v>
      </c>
      <c r="G24" s="22"/>
      <c r="H24" s="22">
        <f>IF(OR(ISBLANK(E24),ISBLANK(F24)),"",F24-E24+1)</f>
        <v>6</v>
      </c>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61"/>
      <c r="AO24" s="61"/>
      <c r="AP24" s="61"/>
      <c r="AQ24" s="61"/>
      <c r="AR24" s="61"/>
      <c r="AS24" s="61"/>
      <c r="AT24" s="32"/>
      <c r="AU24" s="32"/>
      <c r="AV24" s="32"/>
      <c r="AW24" s="32"/>
      <c r="AX24" s="71"/>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row>
    <row r="25" spans="1:129" s="3" customFormat="1" ht="21.75" customHeight="1" thickBot="1" x14ac:dyDescent="0.35">
      <c r="A25" s="16"/>
      <c r="B25" s="23" t="s">
        <v>53</v>
      </c>
      <c r="C25" s="24" t="s">
        <v>37</v>
      </c>
      <c r="D25" s="25">
        <v>1</v>
      </c>
      <c r="E25" s="55">
        <v>46271</v>
      </c>
      <c r="F25" s="56">
        <v>46276</v>
      </c>
      <c r="G25" s="22"/>
      <c r="H25" s="22">
        <f>IF(OR(ISBLANK(E25),ISBLANK(F25)),"",F25-E25+1)</f>
        <v>6</v>
      </c>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61"/>
      <c r="AR25" s="61"/>
      <c r="AS25" s="61"/>
      <c r="AT25" s="61"/>
      <c r="AU25" s="61"/>
      <c r="AV25" s="61"/>
      <c r="AW25" s="32"/>
      <c r="AX25" s="71"/>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row>
    <row r="26" spans="1:129" s="3" customFormat="1" ht="21.75" customHeight="1" thickBot="1" x14ac:dyDescent="0.35">
      <c r="A26" s="16"/>
      <c r="B26" s="23" t="s">
        <v>54</v>
      </c>
      <c r="C26" s="24" t="s">
        <v>37</v>
      </c>
      <c r="D26" s="25">
        <v>1</v>
      </c>
      <c r="E26" s="55">
        <v>46275</v>
      </c>
      <c r="F26" s="56">
        <v>46278</v>
      </c>
      <c r="G26" s="22"/>
      <c r="H26" s="22">
        <f>IF(OR(ISBLANK(E26),ISBLANK(F26)),"",F26-E26+1)</f>
        <v>4</v>
      </c>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61"/>
      <c r="AV26" s="61"/>
      <c r="AW26" s="61"/>
      <c r="AX26" s="71"/>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row>
    <row r="27" spans="1:129" s="3" customFormat="1" ht="21.75" customHeight="1" thickBot="1" x14ac:dyDescent="0.35">
      <c r="A27" s="16"/>
      <c r="B27" s="23" t="s">
        <v>55</v>
      </c>
      <c r="C27" s="24" t="s">
        <v>37</v>
      </c>
      <c r="D27" s="25">
        <v>0.9</v>
      </c>
      <c r="E27" s="55">
        <v>46276</v>
      </c>
      <c r="F27" s="56">
        <v>46279</v>
      </c>
      <c r="G27" s="22"/>
      <c r="H27" s="22">
        <f>IF(OR(ISBLANK(E27),ISBLANK(F27)),"",F27-E27+1)</f>
        <v>4</v>
      </c>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62"/>
      <c r="AW27" s="62"/>
      <c r="AX27" s="74"/>
      <c r="AY27" s="63"/>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row>
    <row r="28" spans="1:129" s="3" customFormat="1" ht="21.75" customHeight="1" thickBot="1" x14ac:dyDescent="0.35">
      <c r="A28" s="16"/>
      <c r="B28" s="49" t="s">
        <v>56</v>
      </c>
      <c r="C28" s="50"/>
      <c r="D28" s="51"/>
      <c r="E28" s="52">
        <v>43494</v>
      </c>
      <c r="F28" s="52">
        <v>43498</v>
      </c>
      <c r="G28" s="53"/>
      <c r="H28" s="53">
        <f>IF(OR(ISBLANK(task_start),ISBLANK(task_end)),"",task_end-task_start+1)</f>
        <v>5</v>
      </c>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72"/>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c r="DA28" s="54"/>
      <c r="DB28" s="54"/>
      <c r="DC28" s="54"/>
      <c r="DD28" s="54"/>
      <c r="DE28" s="54"/>
      <c r="DF28" s="54"/>
      <c r="DG28" s="54"/>
      <c r="DH28" s="54"/>
      <c r="DI28" s="54"/>
      <c r="DJ28" s="54"/>
      <c r="DK28" s="54"/>
      <c r="DL28" s="54"/>
      <c r="DM28" s="54"/>
      <c r="DN28" s="54"/>
      <c r="DO28" s="54"/>
      <c r="DP28" s="54"/>
      <c r="DQ28" s="54"/>
      <c r="DR28" s="54"/>
      <c r="DS28" s="54"/>
      <c r="DT28" s="54"/>
      <c r="DU28" s="54"/>
      <c r="DV28" s="54"/>
      <c r="DW28" s="54"/>
      <c r="DX28" s="54"/>
      <c r="DY28" s="54"/>
    </row>
    <row r="29" spans="1:129" s="3" customFormat="1" ht="21.75" customHeight="1" thickBot="1" x14ac:dyDescent="0.35">
      <c r="A29" s="16"/>
      <c r="B29" s="23" t="s">
        <v>57</v>
      </c>
      <c r="C29" s="24" t="s">
        <v>37</v>
      </c>
      <c r="D29" s="25">
        <v>0</v>
      </c>
      <c r="E29" s="55">
        <v>46280</v>
      </c>
      <c r="F29" s="56">
        <v>46285</v>
      </c>
      <c r="G29" s="22"/>
      <c r="H29" s="22">
        <f>IF(OR(ISBLANK(E29),ISBLANK(F29)),"",F29-E29+1)</f>
        <v>6</v>
      </c>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71"/>
      <c r="AY29" s="32"/>
      <c r="AZ29" s="63"/>
      <c r="BA29" s="63"/>
      <c r="BB29" s="63"/>
      <c r="BC29" s="63"/>
      <c r="BD29" s="63"/>
      <c r="BE29" s="63"/>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row>
    <row r="30" spans="1:129" s="3" customFormat="1" ht="21.75" customHeight="1" thickBot="1" x14ac:dyDescent="0.35">
      <c r="A30" s="16"/>
      <c r="B30" s="23" t="s">
        <v>58</v>
      </c>
      <c r="C30" s="24" t="s">
        <v>37</v>
      </c>
      <c r="D30" s="25">
        <v>0</v>
      </c>
      <c r="E30" s="55">
        <v>46283</v>
      </c>
      <c r="F30" s="56">
        <v>46289</v>
      </c>
      <c r="G30" s="22"/>
      <c r="H30" s="22">
        <f>IF(OR(ISBLANK(E30),ISBLANK(F30)),"",F30-E30+1)</f>
        <v>7</v>
      </c>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71"/>
      <c r="AY30" s="32"/>
      <c r="AZ30" s="32"/>
      <c r="BA30" s="32"/>
      <c r="BB30" s="32"/>
      <c r="BC30" s="63"/>
      <c r="BD30" s="63"/>
      <c r="BE30" s="63"/>
      <c r="BF30" s="63"/>
      <c r="BG30" s="63"/>
      <c r="BH30" s="63"/>
      <c r="BI30" s="63"/>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row>
    <row r="31" spans="1:129" s="3" customFormat="1" ht="21.75" customHeight="1" thickBot="1" x14ac:dyDescent="0.35">
      <c r="A31" s="16"/>
      <c r="B31" s="23" t="s">
        <v>59</v>
      </c>
      <c r="C31" s="24" t="s">
        <v>37</v>
      </c>
      <c r="D31" s="25">
        <v>0</v>
      </c>
      <c r="E31" s="55">
        <v>46286</v>
      </c>
      <c r="F31" s="56">
        <v>46291</v>
      </c>
      <c r="G31" s="22"/>
      <c r="H31" s="22">
        <f>IF(OR(ISBLANK(E31),ISBLANK(F31)),"",F31-E31+1)</f>
        <v>6</v>
      </c>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71"/>
      <c r="AY31" s="32"/>
      <c r="AZ31" s="32"/>
      <c r="BA31" s="32"/>
      <c r="BB31" s="32"/>
      <c r="BC31" s="32"/>
      <c r="BD31" s="32"/>
      <c r="BE31" s="32"/>
      <c r="BF31" s="63"/>
      <c r="BG31" s="63"/>
      <c r="BH31" s="63"/>
      <c r="BI31" s="63"/>
      <c r="BJ31" s="63"/>
      <c r="BK31" s="63"/>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row>
    <row r="32" spans="1:129" s="3" customFormat="1" ht="21.75" customHeight="1" thickBot="1" x14ac:dyDescent="0.35">
      <c r="A32" s="16"/>
      <c r="B32" s="23" t="s">
        <v>60</v>
      </c>
      <c r="C32" s="24" t="s">
        <v>37</v>
      </c>
      <c r="D32" s="25">
        <v>0</v>
      </c>
      <c r="E32" s="55">
        <v>46289</v>
      </c>
      <c r="F32" s="56">
        <v>46295</v>
      </c>
      <c r="G32" s="22"/>
      <c r="H32" s="22">
        <f>IF(OR(ISBLANK(E32),ISBLANK(F32)),"",F32-E32+1)</f>
        <v>7</v>
      </c>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71"/>
      <c r="AY32" s="32"/>
      <c r="AZ32" s="32"/>
      <c r="BA32" s="32"/>
      <c r="BB32" s="32"/>
      <c r="BC32" s="32"/>
      <c r="BD32" s="32"/>
      <c r="BE32" s="32"/>
      <c r="BF32" s="32"/>
      <c r="BG32" s="32"/>
      <c r="BH32" s="32"/>
      <c r="BI32" s="63"/>
      <c r="BJ32" s="63"/>
      <c r="BK32" s="63"/>
      <c r="BL32" s="63"/>
      <c r="BM32" s="63"/>
      <c r="BN32" s="63"/>
      <c r="BO32" s="63"/>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row>
    <row r="33" spans="1:129" s="3" customFormat="1" ht="21.75" customHeight="1" thickBot="1" x14ac:dyDescent="0.35">
      <c r="A33" s="16"/>
      <c r="B33" s="49" t="s">
        <v>61</v>
      </c>
      <c r="C33" s="50"/>
      <c r="D33" s="51"/>
      <c r="E33" s="52">
        <v>43501</v>
      </c>
      <c r="F33" s="52">
        <v>43506</v>
      </c>
      <c r="G33" s="53"/>
      <c r="H33" s="53">
        <f>IF(OR(ISBLANK(task_start),ISBLANK(task_end)),"",task_end-task_start+1)</f>
        <v>6</v>
      </c>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72"/>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row>
    <row r="34" spans="1:129" s="3" customFormat="1" ht="21.75" customHeight="1" thickBot="1" x14ac:dyDescent="0.35">
      <c r="A34" s="16"/>
      <c r="B34" s="23" t="s">
        <v>62</v>
      </c>
      <c r="C34" s="24" t="s">
        <v>37</v>
      </c>
      <c r="D34" s="25">
        <v>0</v>
      </c>
      <c r="E34" s="55">
        <v>46293</v>
      </c>
      <c r="F34" s="56">
        <v>46299</v>
      </c>
      <c r="G34" s="22"/>
      <c r="H34" s="22">
        <f>IF(OR(ISBLANK(E34),ISBLANK(F34)),"",F34-E34+1)</f>
        <v>7</v>
      </c>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71"/>
      <c r="AY34" s="32"/>
      <c r="AZ34" s="32"/>
      <c r="BA34" s="32"/>
      <c r="BB34" s="32"/>
      <c r="BC34" s="32"/>
      <c r="BD34" s="32"/>
      <c r="BE34" s="32"/>
      <c r="BF34" s="32"/>
      <c r="BG34" s="32"/>
      <c r="BH34" s="32"/>
      <c r="BI34" s="32"/>
      <c r="BJ34" s="32"/>
      <c r="BK34" s="32"/>
      <c r="BL34" s="32"/>
      <c r="BM34" s="63"/>
      <c r="BN34" s="63"/>
      <c r="BO34" s="63"/>
      <c r="BP34" s="63"/>
      <c r="BQ34" s="63"/>
      <c r="BR34" s="63"/>
      <c r="BS34" s="63"/>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row>
    <row r="35" spans="1:129" s="3" customFormat="1" ht="21.75" customHeight="1" thickBot="1" x14ac:dyDescent="0.35">
      <c r="A35" s="16"/>
      <c r="B35" s="23" t="s">
        <v>63</v>
      </c>
      <c r="C35" s="24" t="s">
        <v>37</v>
      </c>
      <c r="D35" s="25">
        <v>0</v>
      </c>
      <c r="E35" s="55">
        <v>46296</v>
      </c>
      <c r="F35" s="56">
        <v>46302</v>
      </c>
      <c r="G35" s="22"/>
      <c r="H35" s="22">
        <f>IF(OR(ISBLANK(E35),ISBLANK(F35)),"",F35-E35+1)</f>
        <v>7</v>
      </c>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71"/>
      <c r="AY35" s="32"/>
      <c r="AZ35" s="32"/>
      <c r="BA35" s="32"/>
      <c r="BB35" s="32"/>
      <c r="BC35" s="32"/>
      <c r="BD35" s="32"/>
      <c r="BE35" s="32"/>
      <c r="BF35" s="32"/>
      <c r="BG35" s="32"/>
      <c r="BH35" s="32"/>
      <c r="BI35" s="32"/>
      <c r="BJ35" s="32"/>
      <c r="BK35" s="32"/>
      <c r="BL35" s="32"/>
      <c r="BM35" s="32"/>
      <c r="BN35" s="32"/>
      <c r="BO35" s="32"/>
      <c r="BP35" s="63"/>
      <c r="BQ35" s="63"/>
      <c r="BR35" s="63"/>
      <c r="BS35" s="63"/>
      <c r="BT35" s="63"/>
      <c r="BU35" s="63"/>
      <c r="BV35" s="63"/>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row>
    <row r="36" spans="1:129" s="3" customFormat="1" ht="21.75" customHeight="1" thickBot="1" x14ac:dyDescent="0.35">
      <c r="A36" s="16"/>
      <c r="B36" s="23" t="s">
        <v>64</v>
      </c>
      <c r="C36" s="24" t="s">
        <v>37</v>
      </c>
      <c r="D36" s="25">
        <v>0</v>
      </c>
      <c r="E36" s="55">
        <v>46299</v>
      </c>
      <c r="F36" s="56">
        <v>46304</v>
      </c>
      <c r="G36" s="22"/>
      <c r="H36" s="22">
        <f>IF(OR(ISBLANK(E36),ISBLANK(F36)),"",F36-E36+1)</f>
        <v>6</v>
      </c>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71"/>
      <c r="AY36" s="32"/>
      <c r="AZ36" s="32"/>
      <c r="BA36" s="32"/>
      <c r="BB36" s="32"/>
      <c r="BC36" s="32"/>
      <c r="BD36" s="32"/>
      <c r="BE36" s="32"/>
      <c r="BF36" s="32"/>
      <c r="BG36" s="32"/>
      <c r="BH36" s="32"/>
      <c r="BI36" s="32"/>
      <c r="BJ36" s="32"/>
      <c r="BK36" s="32"/>
      <c r="BL36" s="32"/>
      <c r="BM36" s="32"/>
      <c r="BN36" s="32"/>
      <c r="BO36" s="32"/>
      <c r="BP36" s="32"/>
      <c r="BQ36" s="32"/>
      <c r="BR36" s="32"/>
      <c r="BS36" s="63"/>
      <c r="BT36" s="63"/>
      <c r="BU36" s="63"/>
      <c r="BV36" s="63"/>
      <c r="BW36" s="63"/>
      <c r="BX36" s="63"/>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row>
    <row r="37" spans="1:129" s="3" customFormat="1" ht="21.75" customHeight="1" thickBot="1" x14ac:dyDescent="0.35">
      <c r="A37" s="16"/>
      <c r="B37" s="23" t="s">
        <v>65</v>
      </c>
      <c r="C37" s="24" t="s">
        <v>37</v>
      </c>
      <c r="D37" s="25">
        <v>0</v>
      </c>
      <c r="E37" s="55">
        <v>46302</v>
      </c>
      <c r="F37" s="56">
        <v>46307</v>
      </c>
      <c r="G37" s="22"/>
      <c r="H37" s="22">
        <f>IF(OR(ISBLANK(E37),ISBLANK(F37)),"",F37-E37+1)</f>
        <v>6</v>
      </c>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71"/>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63"/>
      <c r="BW37" s="63"/>
      <c r="BX37" s="63"/>
      <c r="BY37" s="63"/>
      <c r="BZ37" s="63"/>
      <c r="CA37" s="63"/>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row>
    <row r="38" spans="1:129" s="3" customFormat="1" ht="21.75" customHeight="1" thickBot="1" x14ac:dyDescent="0.35">
      <c r="A38" s="16"/>
      <c r="B38" s="49" t="s">
        <v>66</v>
      </c>
      <c r="C38" s="50"/>
      <c r="D38" s="51"/>
      <c r="E38" s="52"/>
      <c r="F38" s="52"/>
      <c r="G38" s="53"/>
      <c r="H38" s="53" t="str">
        <f>IF(OR(ISBLANK(task_start),ISBLANK(task_end)),"",task_end-task_start+1)</f>
        <v/>
      </c>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72"/>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row>
    <row r="39" spans="1:129" s="3" customFormat="1" ht="21.75" customHeight="1" thickBot="1" x14ac:dyDescent="0.35">
      <c r="A39" s="16"/>
      <c r="B39" s="23" t="s">
        <v>67</v>
      </c>
      <c r="C39" s="24" t="s">
        <v>37</v>
      </c>
      <c r="D39" s="25">
        <v>0</v>
      </c>
      <c r="E39" s="55">
        <v>46303</v>
      </c>
      <c r="F39" s="56">
        <v>46312</v>
      </c>
      <c r="G39" s="22"/>
      <c r="H39" s="22">
        <f>IF(OR(ISBLANK(E39),ISBLANK(F39)),"",F39-E39+1)</f>
        <v>10</v>
      </c>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71"/>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63"/>
      <c r="BX39" s="63"/>
      <c r="BY39" s="63"/>
      <c r="BZ39" s="63"/>
      <c r="CA39" s="63"/>
      <c r="CB39" s="63"/>
      <c r="CC39" s="63"/>
      <c r="CD39" s="63"/>
      <c r="CE39" s="63"/>
      <c r="CF39" s="63"/>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row>
    <row r="40" spans="1:129" s="3" customFormat="1" ht="21.75" customHeight="1" thickBot="1" x14ac:dyDescent="0.35">
      <c r="A40" s="16"/>
      <c r="B40" s="23" t="s">
        <v>68</v>
      </c>
      <c r="C40" s="24" t="s">
        <v>37</v>
      </c>
      <c r="D40" s="25">
        <v>0</v>
      </c>
      <c r="E40" s="55">
        <v>46308</v>
      </c>
      <c r="F40" s="56">
        <v>46315</v>
      </c>
      <c r="G40" s="22"/>
      <c r="H40" s="22">
        <f>IF(OR(ISBLANK(E40),ISBLANK(F40)),"",F40-E40+1)</f>
        <v>8</v>
      </c>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71"/>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63"/>
      <c r="CC40" s="63"/>
      <c r="CD40" s="63"/>
      <c r="CE40" s="63"/>
      <c r="CF40" s="63"/>
      <c r="CG40" s="63"/>
      <c r="CH40" s="63"/>
      <c r="CI40" s="63"/>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row>
    <row r="41" spans="1:129" s="3" customFormat="1" ht="21.75" customHeight="1" thickBot="1" x14ac:dyDescent="0.35">
      <c r="B41" s="23" t="s">
        <v>69</v>
      </c>
      <c r="C41" s="24" t="s">
        <v>37</v>
      </c>
      <c r="D41" s="25">
        <v>0</v>
      </c>
      <c r="E41" s="55">
        <v>46310</v>
      </c>
      <c r="F41" s="56">
        <v>46322</v>
      </c>
      <c r="G41" s="22"/>
      <c r="H41" s="22">
        <f>IF(OR(ISBLANK(E41),ISBLANK(F41)),"",F41-E41+1)</f>
        <v>13</v>
      </c>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71"/>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63"/>
      <c r="CE41" s="63"/>
      <c r="CF41" s="63"/>
      <c r="CG41" s="63"/>
      <c r="CH41" s="63"/>
      <c r="CI41" s="63"/>
      <c r="CJ41" s="63"/>
      <c r="CK41" s="63"/>
      <c r="CL41" s="63"/>
      <c r="CM41" s="63"/>
      <c r="CN41" s="63"/>
      <c r="CO41" s="63"/>
      <c r="CP41" s="63"/>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row>
    <row r="42" spans="1:129" ht="21.75" customHeight="1" x14ac:dyDescent="0.3">
      <c r="B42" s="23" t="s">
        <v>70</v>
      </c>
      <c r="C42" s="24" t="s">
        <v>37</v>
      </c>
      <c r="D42" s="25">
        <v>0</v>
      </c>
      <c r="E42" s="55">
        <v>46317</v>
      </c>
      <c r="F42" s="56">
        <v>46326</v>
      </c>
      <c r="G42" s="22"/>
      <c r="H42" s="22">
        <f>IF(OR(ISBLANK(E42),ISBLANK(F42)),"",F42-E42+1)</f>
        <v>10</v>
      </c>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71"/>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63"/>
      <c r="CL42" s="63"/>
      <c r="CM42" s="63"/>
      <c r="CN42" s="63"/>
      <c r="CO42" s="63"/>
      <c r="CP42" s="63"/>
      <c r="CQ42" s="63"/>
      <c r="CR42" s="63"/>
      <c r="CS42" s="63"/>
      <c r="CT42" s="63"/>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row>
    <row r="43" spans="1:129" ht="21.75" customHeight="1" x14ac:dyDescent="0.3">
      <c r="B43" s="49" t="s">
        <v>71</v>
      </c>
      <c r="C43" s="50"/>
      <c r="D43" s="51"/>
      <c r="E43" s="52"/>
      <c r="F43" s="52"/>
      <c r="G43" s="53"/>
      <c r="H43" s="53"/>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72"/>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row>
    <row r="44" spans="1:129" ht="21.75" customHeight="1" x14ac:dyDescent="0.3">
      <c r="B44" s="23" t="s">
        <v>72</v>
      </c>
      <c r="C44" s="24" t="s">
        <v>37</v>
      </c>
      <c r="D44" s="25">
        <v>0</v>
      </c>
      <c r="E44" s="55">
        <v>46327</v>
      </c>
      <c r="F44" s="56">
        <v>46331</v>
      </c>
      <c r="G44" s="22"/>
      <c r="H44" s="22">
        <f>IF(OR(ISBLANK(E44),ISBLANK(F44)),"",F44-E44+1)</f>
        <v>5</v>
      </c>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71"/>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63"/>
      <c r="CV44" s="63"/>
      <c r="CW44" s="63"/>
      <c r="CX44" s="63"/>
      <c r="CY44" s="63"/>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row>
    <row r="45" spans="1:129" ht="21.75" customHeight="1" x14ac:dyDescent="0.3">
      <c r="B45" s="23" t="s">
        <v>73</v>
      </c>
      <c r="C45" s="24" t="s">
        <v>37</v>
      </c>
      <c r="D45" s="25">
        <v>0</v>
      </c>
      <c r="E45" s="55">
        <v>46330</v>
      </c>
      <c r="F45" s="56">
        <v>46338</v>
      </c>
      <c r="G45" s="22"/>
      <c r="H45" s="22">
        <f>IF(OR(ISBLANK(E45),ISBLANK(F45)),"",F45-E45+1)</f>
        <v>9</v>
      </c>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71"/>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63"/>
      <c r="CY45" s="63"/>
      <c r="CZ45" s="63"/>
      <c r="DA45" s="63"/>
      <c r="DB45" s="63"/>
      <c r="DC45" s="63"/>
      <c r="DD45" s="63"/>
      <c r="DE45" s="63"/>
      <c r="DF45" s="63"/>
      <c r="DG45" s="32"/>
      <c r="DH45" s="32"/>
      <c r="DI45" s="32"/>
      <c r="DJ45" s="32"/>
      <c r="DK45" s="32"/>
      <c r="DL45" s="32"/>
      <c r="DM45" s="32"/>
      <c r="DN45" s="32"/>
      <c r="DO45" s="32"/>
      <c r="DP45" s="32"/>
      <c r="DQ45" s="32"/>
      <c r="DR45" s="32"/>
      <c r="DS45" s="32"/>
      <c r="DT45" s="32"/>
      <c r="DU45" s="32"/>
      <c r="DV45" s="32"/>
      <c r="DW45" s="32"/>
      <c r="DX45" s="32"/>
      <c r="DY45" s="32"/>
    </row>
    <row r="46" spans="1:129" ht="21.75" customHeight="1" x14ac:dyDescent="0.3">
      <c r="B46" s="23" t="s">
        <v>74</v>
      </c>
      <c r="C46" s="24" t="s">
        <v>37</v>
      </c>
      <c r="D46" s="25">
        <v>0</v>
      </c>
      <c r="E46" s="55">
        <v>46336</v>
      </c>
      <c r="F46" s="56">
        <v>46344</v>
      </c>
      <c r="G46" s="22"/>
      <c r="H46" s="22">
        <f>IF(OR(ISBLANK(E46),ISBLANK(F46)),"",F46-E46+1)</f>
        <v>9</v>
      </c>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71"/>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63"/>
      <c r="DE46" s="63"/>
      <c r="DF46" s="63"/>
      <c r="DG46" s="63"/>
      <c r="DH46" s="63"/>
      <c r="DI46" s="63"/>
      <c r="DJ46" s="63"/>
      <c r="DK46" s="63"/>
      <c r="DL46" s="63"/>
      <c r="DM46" s="32"/>
      <c r="DN46" s="32"/>
      <c r="DO46" s="32"/>
      <c r="DP46" s="32"/>
      <c r="DQ46" s="32"/>
      <c r="DR46" s="32"/>
      <c r="DS46" s="32"/>
      <c r="DT46" s="32"/>
      <c r="DU46" s="32"/>
      <c r="DV46" s="32"/>
      <c r="DW46" s="32"/>
      <c r="DX46" s="32"/>
      <c r="DY46" s="32"/>
    </row>
    <row r="47" spans="1:129" ht="21.75" customHeight="1" x14ac:dyDescent="0.3">
      <c r="B47" s="23" t="s">
        <v>75</v>
      </c>
      <c r="C47" s="24" t="s">
        <v>37</v>
      </c>
      <c r="D47" s="25">
        <v>0</v>
      </c>
      <c r="E47" s="55">
        <v>46343</v>
      </c>
      <c r="F47" s="56">
        <v>46346</v>
      </c>
      <c r="G47" s="22"/>
      <c r="H47" s="22">
        <f>IF(OR(ISBLANK(E47),ISBLANK(F47)),"",F47-E47+1)</f>
        <v>4</v>
      </c>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71"/>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63"/>
      <c r="DL47" s="63"/>
      <c r="DM47" s="63"/>
      <c r="DN47" s="63"/>
      <c r="DO47" s="32"/>
      <c r="DP47" s="32"/>
      <c r="DQ47" s="32"/>
      <c r="DR47" s="32"/>
      <c r="DS47" s="32"/>
      <c r="DT47" s="32"/>
      <c r="DU47" s="32"/>
      <c r="DV47" s="32"/>
      <c r="DW47" s="32"/>
      <c r="DX47" s="32"/>
      <c r="DY47" s="32"/>
    </row>
    <row r="48" spans="1:129" ht="21.75" customHeight="1" x14ac:dyDescent="0.3">
      <c r="B48" s="49" t="s">
        <v>76</v>
      </c>
      <c r="C48" s="50"/>
      <c r="D48" s="51"/>
      <c r="E48" s="52"/>
      <c r="F48" s="52"/>
      <c r="G48" s="53"/>
      <c r="H48" s="53"/>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72"/>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row>
    <row r="49" spans="1:129" ht="21.75" customHeight="1" x14ac:dyDescent="0.3">
      <c r="B49" s="23" t="s">
        <v>77</v>
      </c>
      <c r="C49" s="24" t="s">
        <v>37</v>
      </c>
      <c r="D49" s="25">
        <v>0</v>
      </c>
      <c r="E49" s="55">
        <v>46344</v>
      </c>
      <c r="F49" s="56">
        <v>46350</v>
      </c>
      <c r="G49" s="22"/>
      <c r="H49" s="22">
        <f>IF(OR(ISBLANK(E49),ISBLANK(F49)),"",F49-E49+1)</f>
        <v>7</v>
      </c>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71"/>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63"/>
      <c r="DM49" s="63"/>
      <c r="DN49" s="63"/>
      <c r="DO49" s="63"/>
      <c r="DP49" s="63"/>
      <c r="DQ49" s="63"/>
      <c r="DR49" s="63"/>
      <c r="DS49" s="32"/>
      <c r="DT49" s="32"/>
      <c r="DU49" s="32"/>
      <c r="DV49" s="32"/>
      <c r="DW49" s="32"/>
      <c r="DX49" s="32"/>
      <c r="DY49" s="32"/>
    </row>
    <row r="50" spans="1:129" ht="21.75" customHeight="1" x14ac:dyDescent="0.3">
      <c r="B50" s="23" t="s">
        <v>78</v>
      </c>
      <c r="C50" s="24" t="s">
        <v>37</v>
      </c>
      <c r="D50" s="25">
        <v>0</v>
      </c>
      <c r="E50" s="55">
        <v>46348</v>
      </c>
      <c r="F50" s="56">
        <v>46353</v>
      </c>
      <c r="G50" s="22"/>
      <c r="H50" s="22">
        <f>IF(OR(ISBLANK(E50),ISBLANK(F50)),"",F50-E50+1)</f>
        <v>6</v>
      </c>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71"/>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63"/>
      <c r="DQ50" s="63"/>
      <c r="DR50" s="63"/>
      <c r="DS50" s="63"/>
      <c r="DT50" s="63"/>
      <c r="DU50" s="63"/>
      <c r="DV50" s="32"/>
      <c r="DW50" s="32"/>
      <c r="DX50" s="32"/>
      <c r="DY50" s="32"/>
    </row>
    <row r="51" spans="1:129" ht="21.75" customHeight="1" x14ac:dyDescent="0.3">
      <c r="B51" s="23" t="s">
        <v>79</v>
      </c>
      <c r="C51" s="24" t="s">
        <v>37</v>
      </c>
      <c r="D51" s="25">
        <v>0</v>
      </c>
      <c r="E51" s="55">
        <v>46352</v>
      </c>
      <c r="F51" s="56">
        <v>46356</v>
      </c>
      <c r="G51" s="22"/>
      <c r="H51" s="22">
        <f>IF(OR(ISBLANK(E51),ISBLANK(F51)),"",F51-E51+1)</f>
        <v>5</v>
      </c>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71"/>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63"/>
      <c r="DU51" s="63"/>
      <c r="DV51" s="63"/>
      <c r="DW51" s="63"/>
      <c r="DX51" s="63"/>
      <c r="DY51" s="32"/>
    </row>
    <row r="52" spans="1:129" ht="21.75" customHeight="1" x14ac:dyDescent="0.3">
      <c r="B52" s="23" t="s">
        <v>80</v>
      </c>
      <c r="C52" s="24" t="s">
        <v>37</v>
      </c>
      <c r="D52" s="25">
        <v>0</v>
      </c>
      <c r="E52" s="55">
        <v>46357</v>
      </c>
      <c r="F52" s="56">
        <v>46357</v>
      </c>
      <c r="G52" s="22"/>
      <c r="H52" s="22">
        <f>IF(OR(ISBLANK(E52),ISBLANK(F52)),"",F52-E52+1)</f>
        <v>1</v>
      </c>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71"/>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63"/>
    </row>
    <row r="53" spans="1:129" ht="21" x14ac:dyDescent="0.3">
      <c r="A53" s="16"/>
      <c r="B53" s="26" t="s">
        <v>81</v>
      </c>
      <c r="C53" s="27"/>
      <c r="D53" s="28"/>
      <c r="E53" s="29"/>
      <c r="F53" s="30"/>
      <c r="G53" s="31"/>
      <c r="H53" s="31" t="str">
        <f>IF(OR(ISBLANK(task_start),ISBLANK(task_end)),"",task_end-task_start+1)</f>
        <v/>
      </c>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row>
    <row r="54" spans="1:129" x14ac:dyDescent="0.3">
      <c r="A54" s="6"/>
      <c r="G54" s="6"/>
      <c r="AX54" s="73"/>
    </row>
    <row r="55" spans="1:129" x14ac:dyDescent="0.3">
      <c r="B55" s="57" t="s">
        <v>82</v>
      </c>
      <c r="C55" s="58" t="s">
        <v>83</v>
      </c>
      <c r="D55" s="59" t="s">
        <v>84</v>
      </c>
      <c r="E55" s="60" t="s">
        <v>85</v>
      </c>
      <c r="F55" s="44">
        <v>43113</v>
      </c>
      <c r="AX55" s="73"/>
    </row>
    <row r="56" spans="1:129" x14ac:dyDescent="0.3">
      <c r="B56" s="48" t="s">
        <v>86</v>
      </c>
      <c r="C56" s="15"/>
      <c r="AX56" s="73"/>
    </row>
    <row r="57" spans="1:129" x14ac:dyDescent="0.3">
      <c r="B57" s="47" t="s">
        <v>87</v>
      </c>
      <c r="AX57" s="73"/>
    </row>
  </sheetData>
  <mergeCells count="21">
    <mergeCell ref="J1:AA1"/>
    <mergeCell ref="CV4:DB4"/>
    <mergeCell ref="BF4:BL4"/>
    <mergeCell ref="E3:F3"/>
    <mergeCell ref="E2:F2"/>
    <mergeCell ref="CO4:CU4"/>
    <mergeCell ref="AY4:BE4"/>
    <mergeCell ref="CH4:CN4"/>
    <mergeCell ref="AR4:AX4"/>
    <mergeCell ref="DJ4:DP4"/>
    <mergeCell ref="I4:O4"/>
    <mergeCell ref="BT4:BZ4"/>
    <mergeCell ref="DC4:DI4"/>
    <mergeCell ref="DX4:DY4"/>
    <mergeCell ref="BM4:BS4"/>
    <mergeCell ref="DQ4:DW4"/>
    <mergeCell ref="W4:AC4"/>
    <mergeCell ref="AD4:AJ4"/>
    <mergeCell ref="P4:V4"/>
    <mergeCell ref="CA4:CG4"/>
    <mergeCell ref="AK4:AQ4"/>
  </mergeCells>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3" r:id="rId1" xr:uid="{00000000-0004-0000-0000-000000000000}"/>
    <hyperlink ref="B44" r:id="rId2" xr:uid="{00000000-0004-0000-0000-000001000000}"/>
  </hyperlinks>
  <pageMargins left="0.35" right="0.35" top="0.35" bottom="0.5" header="0.3" footer="0.3"/>
  <pageSetup scale="62" fitToHeight="0" orientation="landscape"/>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2" customWidth="1"/>
    <col min="2" max="2" width="87.109375" style="34" customWidth="1"/>
    <col min="3" max="3" width="9.109375" style="2" customWidth="1"/>
    <col min="4" max="16384" width="9.109375" style="2"/>
  </cols>
  <sheetData>
    <row r="1" spans="2:3" ht="46.5" customHeight="1" x14ac:dyDescent="0.3"/>
    <row r="2" spans="2:3" s="36" customFormat="1" ht="15.75" customHeight="1" x14ac:dyDescent="0.3">
      <c r="B2" s="35" t="s">
        <v>88</v>
      </c>
      <c r="C2" s="35"/>
    </row>
    <row r="3" spans="2:3" s="38" customFormat="1" ht="13.5" customHeight="1" x14ac:dyDescent="0.3">
      <c r="B3" s="37" t="s">
        <v>89</v>
      </c>
      <c r="C3" s="37"/>
    </row>
    <row r="4" spans="2:3" x14ac:dyDescent="0.3">
      <c r="B4" s="46" t="s">
        <v>87</v>
      </c>
    </row>
    <row r="6" spans="2:3" s="39" customFormat="1" ht="26.25" customHeight="1" x14ac:dyDescent="0.5">
      <c r="B6" s="41" t="s">
        <v>90</v>
      </c>
    </row>
    <row r="7" spans="2:3" ht="60" customHeight="1" x14ac:dyDescent="0.3">
      <c r="B7" s="42" t="s">
        <v>91</v>
      </c>
    </row>
    <row r="8" spans="2:3" ht="15" customHeight="1" x14ac:dyDescent="0.3">
      <c r="B8" s="40"/>
    </row>
    <row r="9" spans="2:3" s="39" customFormat="1" ht="26.25" customHeight="1" x14ac:dyDescent="0.5">
      <c r="B9" s="41" t="s">
        <v>92</v>
      </c>
    </row>
    <row r="10" spans="2:3" ht="60" customHeight="1" x14ac:dyDescent="0.3">
      <c r="B10" s="42" t="s">
        <v>93</v>
      </c>
    </row>
    <row r="11" spans="2:3" ht="14.25" customHeight="1" x14ac:dyDescent="0.3">
      <c r="B11" s="43" t="s">
        <v>94</v>
      </c>
    </row>
    <row r="12" spans="2:3" ht="15" customHeight="1" x14ac:dyDescent="0.3">
      <c r="B12" s="40"/>
    </row>
    <row r="13" spans="2:3" ht="14.25" customHeight="1" x14ac:dyDescent="0.3">
      <c r="B13" s="43" t="str">
        <f>HYPERLINK("https://vertex42.link/HowToMakeAGanttChart","► Watch How This Gantt Chart Was Created")</f>
        <v>► Watch How This Gantt Chart Was Created</v>
      </c>
    </row>
    <row r="14" spans="2:3" ht="15" customHeight="1" x14ac:dyDescent="0.3">
      <c r="B14" s="40"/>
    </row>
    <row r="15" spans="2:3" s="39" customFormat="1" ht="26.25" customHeight="1" x14ac:dyDescent="0.5">
      <c r="B15" s="41" t="s">
        <v>95</v>
      </c>
    </row>
    <row r="16" spans="2:3" ht="30" customHeight="1" x14ac:dyDescent="0.3">
      <c r="B16" s="42" t="s">
        <v>96</v>
      </c>
    </row>
    <row r="17" spans="2:2" ht="14.25" customHeight="1" x14ac:dyDescent="0.3">
      <c r="B17" s="43" t="s">
        <v>97</v>
      </c>
    </row>
    <row r="18" spans="2:2" ht="15" customHeight="1" x14ac:dyDescent="0.3">
      <c r="B18" s="40"/>
    </row>
    <row r="19" spans="2:2" s="39" customFormat="1" ht="26.25" customHeight="1" x14ac:dyDescent="0.5">
      <c r="B19" s="41" t="s">
        <v>98</v>
      </c>
    </row>
    <row r="20" spans="2:2" ht="60" customHeight="1" x14ac:dyDescent="0.3">
      <c r="B20" s="42" t="s">
        <v>99</v>
      </c>
    </row>
    <row r="21" spans="2:2" ht="15" customHeight="1" x14ac:dyDescent="0.3">
      <c r="B21" s="40"/>
    </row>
    <row r="22" spans="2:2" ht="75" customHeight="1" x14ac:dyDescent="0.3">
      <c r="B22" s="42" t="s">
        <v>100</v>
      </c>
    </row>
  </sheetData>
  <hyperlinks>
    <hyperlink ref="B2" r:id="rId1" xr:uid="{00000000-0004-0000-0100-000000000000}"/>
    <hyperlink ref="B3" r:id="rId2" xr:uid="{00000000-0004-0000-0100-000001000000}"/>
    <hyperlink ref="B11" r:id="rId3" xr:uid="{00000000-0004-0000-0100-000002000000}"/>
    <hyperlink ref="B17" r:id="rId4" xr:uid="{00000000-0004-0000-0100-000003000000}"/>
  </hyperlinks>
  <pageMargins left="0.5" right="0.5" top="0.5" bottom="0.5" header="0.3" footer="0.3"/>
  <pageSetup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ProjectSchedule</vt:lpstr>
      <vt:lpstr>About</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Mannat sachdeva</cp:lastModifiedBy>
  <cp:lastPrinted>2019-04-24T14:39:40Z</cp:lastPrinted>
  <dcterms:created xsi:type="dcterms:W3CDTF">2017-01-09T18:01:51Z</dcterms:created>
  <dcterms:modified xsi:type="dcterms:W3CDTF">2026-09-13T11:06:49Z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